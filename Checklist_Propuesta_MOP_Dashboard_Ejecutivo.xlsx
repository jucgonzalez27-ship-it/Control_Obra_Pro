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cgon\Desktop\"/>
    </mc:Choice>
  </mc:AlternateContent>
  <xr:revisionPtr revIDLastSave="0" documentId="13_ncr:1_{F2E8EFE5-A5B0-44AF-A449-C1A318CF8B2B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PANEL" sheetId="1" r:id="rId1"/>
    <sheet name="BASES" sheetId="2" r:id="rId2"/>
    <sheet name="PERSONAL" sheetId="3" r:id="rId3"/>
    <sheet name="METODOLOGIA" sheetId="4" r:id="rId4"/>
    <sheet name="ECONOMICA" sheetId="5" r:id="rId5"/>
    <sheet name="DOCUMENTAL" sheetId="6" r:id="rId6"/>
    <sheet name="CALIDAD" sheetId="7" r:id="rId7"/>
    <sheet name="CIERRE" sheetId="8" r:id="rId8"/>
    <sheet name="LISTAS" sheetId="9" r:id="rId9"/>
  </sheets>
  <calcPr calcId="191029"/>
</workbook>
</file>

<file path=xl/calcChain.xml><?xml version="1.0" encoding="utf-8"?>
<calcChain xmlns="http://schemas.openxmlformats.org/spreadsheetml/2006/main">
  <c r="H3" i="8" l="1"/>
  <c r="H3" i="7"/>
  <c r="H3" i="6"/>
  <c r="H3" i="5"/>
  <c r="H3" i="4"/>
  <c r="H3" i="3"/>
  <c r="H3" i="2"/>
  <c r="D27" i="1"/>
  <c r="L26" i="1"/>
  <c r="D26" i="1"/>
  <c r="L25" i="1"/>
  <c r="D25" i="1"/>
  <c r="L24" i="1"/>
  <c r="D24" i="1"/>
  <c r="L23" i="1"/>
  <c r="D23" i="1"/>
  <c r="L22" i="1"/>
  <c r="D22" i="1"/>
  <c r="L21" i="1"/>
  <c r="D21" i="1"/>
  <c r="L20" i="1"/>
  <c r="I16" i="1"/>
  <c r="K16" i="1" s="1"/>
  <c r="G16" i="1"/>
  <c r="F16" i="1"/>
  <c r="E16" i="1"/>
  <c r="D16" i="1"/>
  <c r="H16" i="1" s="1"/>
  <c r="C16" i="1"/>
  <c r="I15" i="1"/>
  <c r="M25" i="1" s="1"/>
  <c r="G15" i="1"/>
  <c r="F15" i="1"/>
  <c r="E15" i="1"/>
  <c r="D15" i="1"/>
  <c r="H15" i="1" s="1"/>
  <c r="C15" i="1"/>
  <c r="I14" i="1"/>
  <c r="M24" i="1" s="1"/>
  <c r="G14" i="1"/>
  <c r="F14" i="1"/>
  <c r="E14" i="1"/>
  <c r="D14" i="1"/>
  <c r="H14" i="1" s="1"/>
  <c r="C14" i="1"/>
  <c r="I13" i="1"/>
  <c r="G24" i="1" s="1"/>
  <c r="G13" i="1"/>
  <c r="F13" i="1"/>
  <c r="E13" i="1"/>
  <c r="D13" i="1"/>
  <c r="H13" i="1" s="1"/>
  <c r="C13" i="1"/>
  <c r="I12" i="1"/>
  <c r="K12" i="1" s="1"/>
  <c r="G12" i="1"/>
  <c r="F12" i="1"/>
  <c r="E12" i="1"/>
  <c r="D12" i="1"/>
  <c r="C12" i="1"/>
  <c r="I11" i="1"/>
  <c r="G11" i="1"/>
  <c r="F11" i="1"/>
  <c r="E11" i="1"/>
  <c r="D11" i="1"/>
  <c r="H11" i="1" s="1"/>
  <c r="C11" i="1"/>
  <c r="K10" i="1"/>
  <c r="J10" i="1"/>
  <c r="I10" i="1"/>
  <c r="G21" i="1" s="1"/>
  <c r="G10" i="1"/>
  <c r="F10" i="1"/>
  <c r="E10" i="1"/>
  <c r="D10" i="1"/>
  <c r="H10" i="1" s="1"/>
  <c r="C10" i="1"/>
  <c r="A5" i="1" s="1"/>
  <c r="A2" i="1"/>
  <c r="G17" i="1" l="1"/>
  <c r="B24" i="1" s="1"/>
  <c r="J14" i="1"/>
  <c r="K14" i="1"/>
  <c r="F17" i="1"/>
  <c r="B23" i="1" s="1"/>
  <c r="J13" i="1"/>
  <c r="E17" i="1"/>
  <c r="B22" i="1" s="1"/>
  <c r="E5" i="1"/>
  <c r="D17" i="1"/>
  <c r="K13" i="1"/>
  <c r="I5" i="1"/>
  <c r="K5" i="1" s="1"/>
  <c r="C5" i="1"/>
  <c r="C17" i="1"/>
  <c r="M21" i="1"/>
  <c r="G22" i="1"/>
  <c r="M23" i="1"/>
  <c r="G25" i="1"/>
  <c r="G26" i="1"/>
  <c r="G27" i="1"/>
  <c r="J11" i="1"/>
  <c r="J15" i="1"/>
  <c r="G5" i="1"/>
  <c r="K11" i="1"/>
  <c r="J12" i="1"/>
  <c r="K15" i="1"/>
  <c r="J16" i="1"/>
  <c r="I17" i="1"/>
  <c r="M20" i="1"/>
  <c r="M22" i="1"/>
  <c r="G23" i="1"/>
  <c r="M26" i="1"/>
  <c r="H12" i="1"/>
  <c r="H17" i="1" l="1"/>
  <c r="B21" i="1"/>
  <c r="C21" i="1" s="1"/>
  <c r="C22" i="1"/>
  <c r="J17" i="1"/>
  <c r="K17" i="1"/>
  <c r="C23" i="1"/>
  <c r="C24" i="1"/>
</calcChain>
</file>

<file path=xl/sharedStrings.xml><?xml version="1.0" encoding="utf-8"?>
<sst xmlns="http://schemas.openxmlformats.org/spreadsheetml/2006/main" count="1096" uniqueCount="303">
  <si>
    <t>DASHBOARD EJECUTIVO – CONTROL PROPUESTA MOP</t>
  </si>
  <si>
    <t>TOTAL ÍTEMS</t>
  </si>
  <si>
    <t>% AVANCE</t>
  </si>
  <si>
    <t>PENDIENTES</t>
  </si>
  <si>
    <t>NO CUMPLE</t>
  </si>
  <si>
    <t>CRÍTICOS EN RIESGO</t>
  </si>
  <si>
    <t>DECISIÓN EJECUTIVA</t>
  </si>
  <si>
    <t>RESUMEN EJECUTIVO POR MÓDULO</t>
  </si>
  <si>
    <t>MÓDULO</t>
  </si>
  <si>
    <t>HOJA</t>
  </si>
  <si>
    <t>ÍTEMS</t>
  </si>
  <si>
    <t>✓ CUMPLE</t>
  </si>
  <si>
    <t>⚠ PEND.</t>
  </si>
  <si>
    <t>✗ NO CUMPLE</t>
  </si>
  <si>
    <t>N/A</t>
  </si>
  <si>
    <t>CRÍT. RIESGO</t>
  </si>
  <si>
    <t>ENFOQUE</t>
  </si>
  <si>
    <t>ACCIÓN SUGERIDA</t>
  </si>
  <si>
    <t>1. Revisión de Bases</t>
  </si>
  <si>
    <t>BASES</t>
  </si>
  <si>
    <t>2. Equipo / CV</t>
  </si>
  <si>
    <t>PERSONAL</t>
  </si>
  <si>
    <t>3. Metodología</t>
  </si>
  <si>
    <t>METODOLOGIA</t>
  </si>
  <si>
    <t>4. Oferta Económica</t>
  </si>
  <si>
    <t>ECONOMICA</t>
  </si>
  <si>
    <t>5. Control Documental</t>
  </si>
  <si>
    <t>DOCUMENTAL</t>
  </si>
  <si>
    <t>6. Gestión de Calidad</t>
  </si>
  <si>
    <t>CALIDAD</t>
  </si>
  <si>
    <t>7. Cierre y Entrega</t>
  </si>
  <si>
    <t>CIERRE</t>
  </si>
  <si>
    <t>TOTAL GENERAL</t>
  </si>
  <si>
    <t>DISTRIBUCIÓN GLOBAL DE ESTADOS</t>
  </si>
  <si>
    <t>CRÍTICOS EN RIESGO POR MÓDULO</t>
  </si>
  <si>
    <t>Módulo</t>
  </si>
  <si>
    <t>Críticos</t>
  </si>
  <si>
    <t>Estado</t>
  </si>
  <si>
    <t>Cantidad</t>
  </si>
  <si>
    <t>%</t>
  </si>
  <si>
    <t>⚠ PENDIENTE</t>
  </si>
  <si>
    <t>LECTURA EJECUTIVA / PRÓXIMAS ACCIONES</t>
  </si>
  <si>
    <t>1</t>
  </si>
  <si>
    <t>Si existen críticos en riesgo, la propuesta no debe pasar a cierre sin evidencia correctiva.</t>
  </si>
  <si>
    <t>2</t>
  </si>
  <si>
    <t>Priorice módulos con mayor número de pendientes y no conformidades.</t>
  </si>
  <si>
    <t>3</t>
  </si>
  <si>
    <t>Use Observación / Evidencia para dejar trazabilidad del documento revisado.</t>
  </si>
  <si>
    <t>4</t>
  </si>
  <si>
    <t>Revisar el dashboard después de cada cambio de Estado.</t>
  </si>
  <si>
    <t>5</t>
  </si>
  <si>
    <t>Antes de entregar, buscar que % avance sea ≥ 95% y críticos en riesgo = 0.</t>
  </si>
  <si>
    <t>Completa el Estado con el dropdown. Agrega observaciones y evidencias en columna G.</t>
  </si>
  <si>
    <t>#</t>
  </si>
  <si>
    <t>ÍTEM / REQUISITO A VERIFICAR</t>
  </si>
  <si>
    <t>RESPONSABLE</t>
  </si>
  <si>
    <t>PRIORIDAD</t>
  </si>
  <si>
    <t>ESTADO</t>
  </si>
  <si>
    <t>OBSERVACIÓN / EVIDENCIA</t>
  </si>
  <si>
    <t>REF.
BASES</t>
  </si>
  <si>
    <t xml:space="preserve">  ▶  A. LECTURA INICIAL Y ACLARACIONES</t>
  </si>
  <si>
    <t>Leer bases completas: administrativas, técnicas y especiales</t>
  </si>
  <si>
    <t>Jefe Propuesta</t>
  </si>
  <si>
    <t>CRÍTICO</t>
  </si>
  <si>
    <t/>
  </si>
  <si>
    <t>Req. básico</t>
  </si>
  <si>
    <t>Leer todos los anexos y formularios exigidos</t>
  </si>
  <si>
    <t>Analista 1</t>
  </si>
  <si>
    <t>Registrar fecha límite de consultas / aclaraciones</t>
  </si>
  <si>
    <t>Plazo crítico</t>
  </si>
  <si>
    <t>Registrar fecha y lugar de apertura técnica y económica</t>
  </si>
  <si>
    <t>Analista 2</t>
  </si>
  <si>
    <t>Leer todas las aclaraciones publicadas en el portal</t>
  </si>
  <si>
    <t>Modifica bases</t>
  </si>
  <si>
    <t>Confirmar asistencia a visita a terreno (si es obligatoria)</t>
  </si>
  <si>
    <t>Identificar si hay planos, EETT o documentos de referencia adicionales</t>
  </si>
  <si>
    <t>ALTO</t>
  </si>
  <si>
    <t>Req. técnico</t>
  </si>
  <si>
    <t xml:space="preserve">  ▶  B. REQUISITOS DE ADMISIBILIDAD</t>
  </si>
  <si>
    <t>Verificar monto mínimo de facturación / experiencia previa exigidos</t>
  </si>
  <si>
    <t>Fuera de bases</t>
  </si>
  <si>
    <t>Verificar inscripción vigente en Chileproveedores (sin observaciones)</t>
  </si>
  <si>
    <t>Comprobar si se exige garantía de seriedad: monto, plazo, tipo</t>
  </si>
  <si>
    <t>Verificar certificado de deuda tributaria / previsional al día</t>
  </si>
  <si>
    <t>Revisar causales de fuera de bases expresamente listadas en bases</t>
  </si>
  <si>
    <t>Identificar declaraciones juradas específicas exigidas</t>
  </si>
  <si>
    <t>Admisibilidad</t>
  </si>
  <si>
    <t>Confirmar que la empresa puede postular (no está sancionada, inhabilitada)</t>
  </si>
  <si>
    <t xml:space="preserve">  ▶  C. CRITERIOS DE EVALUACIÓN Y PUNTAJE</t>
  </si>
  <si>
    <t>Extraer tabla de criterios con ponderación exacta (% por categoría)</t>
  </si>
  <si>
    <t>Puntaje</t>
  </si>
  <si>
    <t>Calcular puntaje máximo posible por categoría (metodología, personal, precio)</t>
  </si>
  <si>
    <t>Estrategia</t>
  </si>
  <si>
    <t>Identificar en qué criterios se puede maximizar puntaje diferenciador</t>
  </si>
  <si>
    <t>Transcribir fórmula exacta de puntaje precio y calcular precio óptimo</t>
  </si>
  <si>
    <t>Puntaje precio</t>
  </si>
  <si>
    <t>Revisar si metodología tiene sub-criterios evaluados separadamente</t>
  </si>
  <si>
    <t>Revisar si experiencia del equipo tiene sub-puntajes por perfil</t>
  </si>
  <si>
    <t>Identificar si hay bonificaciones o puntos adicionales por compromisos</t>
  </si>
  <si>
    <t>MEDIO</t>
  </si>
  <si>
    <t xml:space="preserve">  ▶  D. ALCANCE TÉCNICO DEL CONTRATO</t>
  </si>
  <si>
    <t>Identificar tipo de contrato (ITO, asesoría, ejecución, conservación vial)</t>
  </si>
  <si>
    <t>Alcance</t>
  </si>
  <si>
    <t>Definir claramente el alcance de responsabilidades de la asesoría</t>
  </si>
  <si>
    <t>Verificar plazo contractual, plazos parciales e hitos de entrega</t>
  </si>
  <si>
    <t>Plazo</t>
  </si>
  <si>
    <t>Identificar normas específicas aplicables (AASHTO, INN, MOP, ISO, DS 132)</t>
  </si>
  <si>
    <t>Normativa</t>
  </si>
  <si>
    <t>Revisar si hay presupuesto referencial publicado y su desglose</t>
  </si>
  <si>
    <t>Estrategia económica</t>
  </si>
  <si>
    <t>Identificar partidas o actividades de alcance ambiguo → enviar aclaración</t>
  </si>
  <si>
    <t>Riesgo técnico</t>
  </si>
  <si>
    <t xml:space="preserve">  ▶  A. JEFE DE ASESORÍA / JEFE DE PROYECTO</t>
  </si>
  <si>
    <t>Verificar título profesional exigido (ej: Ing. Civil, Constructor Civil)</t>
  </si>
  <si>
    <t>Verificar años de experiencia total y experiencia específica exigidos</t>
  </si>
  <si>
    <t>Confirmar que la experiencia acreditada es en proyectos del mismo tipo</t>
  </si>
  <si>
    <t>Revisar que contratos del CV coincidan en nombre, mandante y año</t>
  </si>
  <si>
    <t>Consistencia</t>
  </si>
  <si>
    <t>Verificar que carta compromiso está firmada, con RUT y fecha vigente</t>
  </si>
  <si>
    <t>Comprobar que no está comprometido en otro contrato MOP activo incompatible</t>
  </si>
  <si>
    <t>Calcular puntaje esperado para este perfil según tabla de bases</t>
  </si>
  <si>
    <t>Revisar si la experiencia declarada supera el mínimo para obtener puntaje extra</t>
  </si>
  <si>
    <t>Maximizar puntaje</t>
  </si>
  <si>
    <t xml:space="preserve">  ▶  B. PROFESIONALES COMPLEMENTARIOS OBLIGATORIOS</t>
  </si>
  <si>
    <t>Jefe de Topografía: título, experiencia y carta compromiso</t>
  </si>
  <si>
    <t>Profesional Residente: título, experiencia y carta compromiso</t>
  </si>
  <si>
    <t>Jefe de Laboratorio: título, certificaciones y experiencia</t>
  </si>
  <si>
    <t>Prevencionista: título, exp. en obras viales y disponibilidad horaria</t>
  </si>
  <si>
    <t>Encargado de Calidad: título y experiencia en sistemas de calidad</t>
  </si>
  <si>
    <t>Encargado Ambiental: título y experiencia en proyectos viales</t>
  </si>
  <si>
    <t>Revisar que profesionales opcionales incluidos también tienen carta compromiso</t>
  </si>
  <si>
    <t xml:space="preserve">  ▶  C. REVISIÓN CRUZADA DE CV</t>
  </si>
  <si>
    <t>Comparar años de experiencia declarados vs fechas de contratos del CV</t>
  </si>
  <si>
    <t>Verificar que no hay solapamiento imposible de contratos simultáneos</t>
  </si>
  <si>
    <t>Riesgo</t>
  </si>
  <si>
    <t>Confirmar que los contratos declarados como ITO/Asesoría no sean de ejecución</t>
  </si>
  <si>
    <t>Revisar que proyectos del CV son del mismo tipo al contratado (vial, etc.)</t>
  </si>
  <si>
    <t>Verificar que montos o km de proyectos cumplen umbrales mínimos si aplica</t>
  </si>
  <si>
    <t>Asegurarse que el CV tiene firma del profesional si las bases lo exigen</t>
  </si>
  <si>
    <t>Formal</t>
  </si>
  <si>
    <t>Conclusión por cada CV: Cumple / Cumple con riesgo / No cumple</t>
  </si>
  <si>
    <t>Control</t>
  </si>
  <si>
    <t xml:space="preserve">  ▶  D. CONTROL DE CARTAS COMPROMISO</t>
  </si>
  <si>
    <t>Carta firmada, con nombre completo, RUT y fecha</t>
  </si>
  <si>
    <t>Vigencia de la carta dentro del plazo exigido por bases</t>
  </si>
  <si>
    <t>La carta nombra expresamente el contrato/licitación correcto</t>
  </si>
  <si>
    <t>Dedicación horaria declarada coincide con lo exigido</t>
  </si>
  <si>
    <t>Req. bases</t>
  </si>
  <si>
    <t>No hay incompatibilidad con compromisos en otros contratos vigentes</t>
  </si>
  <si>
    <t>Riesgo ético</t>
  </si>
  <si>
    <t xml:space="preserve">  ▶  A. ESTRUCTURA Y COHERENCIA</t>
  </si>
  <si>
    <t>La metodología está estructurada según los ítems evaluados en bases</t>
  </si>
  <si>
    <t>Cada sección responde a un criterio específico de las bases (no genérica)</t>
  </si>
  <si>
    <t>No hay texto reciclado de otras propuestas sin adaptación al contrato</t>
  </si>
  <si>
    <t>Riesgo descuento</t>
  </si>
  <si>
    <t>Se menciona el nombre del contrato, mandante y zona geográfica correcta</t>
  </si>
  <si>
    <t>La extensión cumple los límites de páginas si las bases lo establecen</t>
  </si>
  <si>
    <t>El índice de la metodología coincide con el contenido real</t>
  </si>
  <si>
    <t xml:space="preserve">  ▶  B. CONTENIDO TÉCNICO EXIGIDO</t>
  </si>
  <si>
    <t>Se describe el enfoque y estrategia de trabajo del equipo ITO/asesoría</t>
  </si>
  <si>
    <t>Se incluye organigrama del equipo con líneas de dependencia y cargos</t>
  </si>
  <si>
    <t>Se detalla sistema de control de calidad de obras propuesto</t>
  </si>
  <si>
    <t>Puntaje calidad</t>
  </si>
  <si>
    <t>Se describe sistema de reportes, informes y trazabilidad documental</t>
  </si>
  <si>
    <t>Se incluye plan de comunicaciones con la IF / mandante</t>
  </si>
  <si>
    <t>Se describe gestión de riesgos del contrato</t>
  </si>
  <si>
    <t>Se incluye plan de seguridad y prevención (si es exigido)</t>
  </si>
  <si>
    <t>Se referencia normativa vigente aplicable (MOP, DS 132, ISO, etc.)</t>
  </si>
  <si>
    <t>Puntaje técnico</t>
  </si>
  <si>
    <t>Se describe protocolo de control de documentos en terreno</t>
  </si>
  <si>
    <t xml:space="preserve">  ▶  C. DIFERENCIACIÓN Y VALOR AGREGADO</t>
  </si>
  <si>
    <t>Se propone al menos un elemento diferenciador no solicitado pero valorizable</t>
  </si>
  <si>
    <t>Ventaja</t>
  </si>
  <si>
    <t>Se describe experiencia previa del equipo en contratos similares</t>
  </si>
  <si>
    <t>Se usa lenguaje alineado con el glosario y terminología de las bases</t>
  </si>
  <si>
    <t>Coherencia</t>
  </si>
  <si>
    <t>No se usan normas no aplicables al tipo de contrato (ej: ejecución en ITO)</t>
  </si>
  <si>
    <t>Se incluye descripción de herramientas de gestión (software, BIM, GPS, etc.) si aplica</t>
  </si>
  <si>
    <t>Valor agregado</t>
  </si>
  <si>
    <t xml:space="preserve">  ▶  A. ARITMÉTICA Y CONSISTENCIA</t>
  </si>
  <si>
    <t>La suma de partidas coincide exactamente con el total ofertado</t>
  </si>
  <si>
    <t>El IVA está correctamente calculado (19% sobre monto neto)</t>
  </si>
  <si>
    <t>Error grave</t>
  </si>
  <si>
    <t>Los % de GG y utilidades cuadran con los montos declarados</t>
  </si>
  <si>
    <t>Costo directo + GG + utilidades + IVA = total oferta</t>
  </si>
  <si>
    <t>No hay errores de transcripción (números al revés, ceros extra)</t>
  </si>
  <si>
    <t>Las fechas en los documentos son anteriores al cierre de la licitación</t>
  </si>
  <si>
    <t>Inconsistencia grave</t>
  </si>
  <si>
    <t xml:space="preserve">  ▶  B. CUMPLIMIENTO DE BASES ECONÓMICAS</t>
  </si>
  <si>
    <t>El monto no supera el presupuesto referencial publicado</t>
  </si>
  <si>
    <t>Todos los formularios económicos exigidos están completados y firmados</t>
  </si>
  <si>
    <t>Los precios por profesional son consistentes con el total del contrato</t>
  </si>
  <si>
    <t>Los valores unitarios son razonables (no subevaluados ni sobre-inflados)</t>
  </si>
  <si>
    <t>Se verificó que los honorarios son consistentes con el mercado</t>
  </si>
  <si>
    <t>Credibilidad</t>
  </si>
  <si>
    <t xml:space="preserve">  ▶  C. ESTRATEGIA DE PRECIO</t>
  </si>
  <si>
    <t>Se calculó el precio para obtener puntaje máximo según fórmula de bases</t>
  </si>
  <si>
    <t>Se simularon escenarios de precio frente a competencia estimada</t>
  </si>
  <si>
    <t>Se verificó que el precio cubre costos reales (no sub-cotizar con pérdida)</t>
  </si>
  <si>
    <t>Sostenibilidad</t>
  </si>
  <si>
    <t>Se documentó la decisión de precio y su fundamento estratégico</t>
  </si>
  <si>
    <t>Trazabilidad</t>
  </si>
  <si>
    <t xml:space="preserve">  ▶  D. GARANTÍA DE SERIEDAD DE OFERTA</t>
  </si>
  <si>
    <t>Monto de la garantía es exactamente el exigido en bases</t>
  </si>
  <si>
    <t>Plazo de vigencia cubre lo exigido + margen de seguridad</t>
  </si>
  <si>
    <t>El beneficiario es el MOP / Dirección correcta (no otra entidad)</t>
  </si>
  <si>
    <t>Tipo de instrumento es el aceptado en bases (boleta, póliza, vale vista)</t>
  </si>
  <si>
    <t>El documento tiene firma y sello del banco o aseguradora</t>
  </si>
  <si>
    <t>Validez</t>
  </si>
  <si>
    <t xml:space="preserve">  ▶  A. ÍNDICE Y ORDEN DE ENTREGA</t>
  </si>
  <si>
    <t>Elaborar índice completo de todos los documentos a entregar</t>
  </si>
  <si>
    <t>Verificar que el orden coincide con lo exigido en bases</t>
  </si>
  <si>
    <t>Numerar y rotular volúmenes / sobres si las bases lo requieren</t>
  </si>
  <si>
    <t>Preparar versión digital (PDF) y física según requisitos de entrega</t>
  </si>
  <si>
    <t>Revisar que tamaño de archivos digitales no excede límites del portal</t>
  </si>
  <si>
    <t xml:space="preserve">  ▶  B. FIRMAS Y AUTORIZACIONES</t>
  </si>
  <si>
    <t>Identificar documentos que deben ir firmados por representante legal</t>
  </si>
  <si>
    <t>Verificar que firmas son en original (no fotocopias) si se exige</t>
  </si>
  <si>
    <t>Verificar que poderes notariales están vigentes y autorizan al firmante</t>
  </si>
  <si>
    <t>Confirmar firma en todas las páginas si las bases lo exigen</t>
  </si>
  <si>
    <t xml:space="preserve">  ▶  C. FORMULARIOS OBLIGATORIOS</t>
  </si>
  <si>
    <t>Formulario oferta técnica: completo, firmado y sin tachaduras</t>
  </si>
  <si>
    <t>Formulario oferta económica: completo, firmado y sin errores</t>
  </si>
  <si>
    <t>Declaración jurada de no conflicto de interés / inhabilidades</t>
  </si>
  <si>
    <t>Anexo de equipo propuesto: completo con todos los profesionales</t>
  </si>
  <si>
    <t>Ficha técnica del contrato (si es exigida)</t>
  </si>
  <si>
    <t>Comprobante / certificado de visita a terreno (si aplica)</t>
  </si>
  <si>
    <t>Documentos de la empresa: RUT, estatutos, escritura (si se exige)</t>
  </si>
  <si>
    <t xml:space="preserve">  ▶  D. VALIDACIÓN FINAL ANTES DE ENTREGA</t>
  </si>
  <si>
    <t>Revisión cruzada final: índice vs documentos reales</t>
  </si>
  <si>
    <t>Control final</t>
  </si>
  <si>
    <t>Contar páginas totales vs límite si hay restricción</t>
  </si>
  <si>
    <t>Verificar que archivos digitales abren correctamente (no corruptos)</t>
  </si>
  <si>
    <t>Confirmar formato de archivos exigido (PDF, Word, firma digital)</t>
  </si>
  <si>
    <t>Buscar referencias a otros contratos por error de copiado (Ctrl+F)</t>
  </si>
  <si>
    <t>Revisar que no hay track changes / comentarios activos en documentos Word</t>
  </si>
  <si>
    <t>Presentación</t>
  </si>
  <si>
    <t>Revisar metadatos de los archivos (no deben mostrar nombre de empresa rival)</t>
  </si>
  <si>
    <t>Seguridad</t>
  </si>
  <si>
    <t xml:space="preserve">  ▶  A. COHERENCIA INTERNA</t>
  </si>
  <si>
    <t>Nombre del contrato es idéntico en todos los documentos</t>
  </si>
  <si>
    <t>RUT y razón social de la empresa es idéntico en todos los documentos</t>
  </si>
  <si>
    <t>Montos de la oferta económica son consistentes en todos los formularios</t>
  </si>
  <si>
    <t>Profesionales nombrados en metodología = profesionales con CV adjunto</t>
  </si>
  <si>
    <t>Plazo propuesto en metodología coincide con el plazo ofertado</t>
  </si>
  <si>
    <t>Normativa citada en metodología es la correcta para el tipo de contrato</t>
  </si>
  <si>
    <t>Consistencia técnica</t>
  </si>
  <si>
    <t xml:space="preserve">  ▶  B. CONTROL DE VERSIONES</t>
  </si>
  <si>
    <t>Solo existe UNA versión final de cada documento (sin versiones previas)</t>
  </si>
  <si>
    <t>Los archivos están nombrados correctamente según lo exigido en bases</t>
  </si>
  <si>
    <t>No hay documentos con metadatos de otro contrato o empresa rival</t>
  </si>
  <si>
    <t>Propuesta no tiene track changes (seguimiento de cambios) activos</t>
  </si>
  <si>
    <t>Los headers/footers de documentos muestran el nombre correcto del contrato</t>
  </si>
  <si>
    <t xml:space="preserve">  ▶  C. PLAN INTERNO DE CALIDAD DE LA PROPUESTA</t>
  </si>
  <si>
    <t>Se designó responsable de revisión final de calidad</t>
  </si>
  <si>
    <t>Se definió plazo interno de cierre con margen de 24-48h antes de la apertura</t>
  </si>
  <si>
    <t>Riesgo plazo</t>
  </si>
  <si>
    <t>Se designó quién imprime, empasta y entrega la propuesta física</t>
  </si>
  <si>
    <t>Logística</t>
  </si>
  <si>
    <t>Respaldo digital de todos los documentos previo a la entrega</t>
  </si>
  <si>
    <t>Se realizó revisión cruzada con al menos 2 personas del equipo</t>
  </si>
  <si>
    <t>Control calidad</t>
  </si>
  <si>
    <t xml:space="preserve">  ▶  A. 72 HORAS ANTES DE LA APERTURA</t>
  </si>
  <si>
    <t>Versión final de metodología aprobada internamente</t>
  </si>
  <si>
    <t>D-3</t>
  </si>
  <si>
    <t>Todos los CV revisados, firmados y ordenados</t>
  </si>
  <si>
    <t>Todas las cartas compromiso recibidas y verificadas</t>
  </si>
  <si>
    <t>Oferta económica cuadrada, revisada y aprobada</t>
  </si>
  <si>
    <t>Garantía de seriedad solicitada al banco / aseguradora</t>
  </si>
  <si>
    <t>Todos los formularios completados y firmados</t>
  </si>
  <si>
    <t xml:space="preserve">  ▶  B. 24 HORAS ANTES DE LA APERTURA</t>
  </si>
  <si>
    <t>Todos los documentos impresos o en PDF final listos</t>
  </si>
  <si>
    <t>D-1</t>
  </si>
  <si>
    <t>Revisión cruzada final del índice vs contenido real</t>
  </si>
  <si>
    <t>Garantía física recibida y verificada (monto, plazo, beneficiario)</t>
  </si>
  <si>
    <t>Confirmación de lugar, hora y forma de entrega</t>
  </si>
  <si>
    <t>Copia digital respaldada en nube / servidor interno</t>
  </si>
  <si>
    <t>Se imprimió una copia de respaldo extra de cada documento clave</t>
  </si>
  <si>
    <t xml:space="preserve">  ▶  C. DÍA DE APERTURA</t>
  </si>
  <si>
    <t>Llegar con al menos 30 minutos de anticipación al lugar de entrega</t>
  </si>
  <si>
    <t>D-Day</t>
  </si>
  <si>
    <t>Llevar copia extra de cada documento crítico</t>
  </si>
  <si>
    <t>Obtener comprobante de recepción / número de ingreso</t>
  </si>
  <si>
    <t>Asistir a apertura si es pública y registrar propuestas rivales y montos</t>
  </si>
  <si>
    <t>Inteligencia</t>
  </si>
  <si>
    <t>Registrar nombres de empresas y profesionales presentes</t>
  </si>
  <si>
    <t xml:space="preserve">  ▶  D. POST-APERTURA Y SEGUIMIENTO</t>
  </si>
  <si>
    <t>Guardar acta de apertura publicada en portal MOP / MercadoPúblico</t>
  </si>
  <si>
    <t>Revisar puntajes publicados y analizar brecha con el ganador</t>
  </si>
  <si>
    <t>Aprendizaje</t>
  </si>
  <si>
    <t>Identificar si hay fundamento para observaciones o reclamo formal</t>
  </si>
  <si>
    <t>Documentar lecciones aprendidas para futuras propuestas</t>
  </si>
  <si>
    <t>Mejora continua</t>
  </si>
  <si>
    <t>Archivar propuesta completa como memoria técnica de referencia</t>
  </si>
  <si>
    <t>USO</t>
  </si>
  <si>
    <t>Actualizar aquí las palabras sugeridas para mantener criterios homogéneos</t>
  </si>
  <si>
    <t>BAJO</t>
  </si>
  <si>
    <t>Administración</t>
  </si>
  <si>
    <t>Legal</t>
  </si>
  <si>
    <t>Finanzas</t>
  </si>
  <si>
    <t>Andres M</t>
  </si>
  <si>
    <t>Rocío F.</t>
  </si>
  <si>
    <t>Julio 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</si>
</sst>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</font>
    <font>
      <sz val="9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b/>
      <sz val="8"/>
      <color rgb="FF1F3864"/>
      <name val="Arial"/>
    </font>
    <font>
      <b/>
      <sz val="8"/>
      <color rgb="FFFFFFFF"/>
      <name val="Arial"/>
    </font>
    <font>
      <b/>
      <sz val="9"/>
      <color rgb="FF7F6000"/>
      <name val="Arial"/>
    </font>
    <font>
      <i/>
      <sz val="9"/>
      <name val="Arial"/>
    </font>
    <font>
      <sz val="8"/>
      <color rgb="FF595959"/>
      <name val="Arial"/>
    </font>
    <font>
      <b/>
      <sz val="11"/>
      <color rgb="FFFFFFFF"/>
      <name val="Calibri"/>
    </font>
    <font>
      <i/>
      <sz val="9"/>
      <color rgb="FF334155"/>
      <name val="Arial"/>
    </font>
    <font>
      <sz val="11"/>
      <color rgb="FF334155"/>
      <name val="Calibri"/>
    </font>
    <font>
      <b/>
      <sz val="10"/>
      <color rgb="FF0F172A"/>
      <name val="Arial"/>
    </font>
    <font>
      <b/>
      <sz val="11"/>
      <color rgb="FF0F172A"/>
      <name val="Calibri"/>
    </font>
    <font>
      <b/>
      <sz val="8"/>
      <color rgb="FF0F172A"/>
      <name val="Arial"/>
    </font>
    <font>
      <b/>
      <sz val="9"/>
      <color rgb="FF0F172A"/>
      <name val="Arial"/>
    </font>
    <font>
      <b/>
      <i/>
      <sz val="9"/>
      <color rgb="FF0F172A"/>
      <name val="Arial"/>
    </font>
    <font>
      <b/>
      <sz val="11"/>
      <color theme="1"/>
      <name val="Calibri"/>
    </font>
    <font>
      <sz val="11"/>
      <color rgb="FFFFFFFF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D966"/>
      </patternFill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0F172A"/>
      </patternFill>
    </fill>
    <fill>
      <patternFill patternType="solid">
        <fgColor rgb="FF111827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E2E8F0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0" fillId="9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6" fillId="6" borderId="1" xfId="0" applyFont="1" applyFill="1" applyBorder="1" applyAlignment="1">
      <alignment horizontal="center" vertical="top"/>
    </xf>
    <xf numFmtId="0" fontId="7" fillId="7" borderId="1" xfId="0" applyFont="1" applyFill="1" applyBorder="1" applyAlignment="1">
      <alignment horizontal="center" vertical="top"/>
    </xf>
    <xf numFmtId="0" fontId="8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8" borderId="1" xfId="0" applyFont="1" applyFill="1" applyBorder="1" applyAlignment="1">
      <alignment horizontal="center" vertical="top"/>
    </xf>
    <xf numFmtId="0" fontId="14" fillId="12" borderId="0" xfId="0" applyFont="1" applyFill="1" applyAlignment="1">
      <alignment vertical="center"/>
    </xf>
    <xf numFmtId="0" fontId="14" fillId="12" borderId="0" xfId="0" applyFont="1" applyFill="1" applyAlignment="1">
      <alignment vertical="center" wrapText="1"/>
    </xf>
    <xf numFmtId="0" fontId="15" fillId="12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left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4" fillId="13" borderId="0" xfId="0" applyFont="1" applyFill="1" applyAlignment="1">
      <alignment vertical="center" wrapText="1"/>
    </xf>
    <xf numFmtId="9" fontId="14" fillId="13" borderId="0" xfId="0" applyNumberFormat="1" applyFont="1" applyFill="1" applyAlignment="1">
      <alignment vertical="center" wrapText="1"/>
    </xf>
    <xf numFmtId="0" fontId="18" fillId="13" borderId="0" xfId="0" applyFont="1" applyFill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14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center" vertical="center" wrapText="1"/>
    </xf>
    <xf numFmtId="1" fontId="14" fillId="11" borderId="0" xfId="0" applyNumberFormat="1" applyFont="1" applyFill="1" applyAlignment="1">
      <alignment horizontal="center" vertical="center" wrapText="1"/>
    </xf>
    <xf numFmtId="9" fontId="14" fillId="11" borderId="0" xfId="0" applyNumberFormat="1" applyFont="1" applyFill="1" applyAlignment="1">
      <alignment horizontal="center" vertical="center" wrapText="1"/>
    </xf>
    <xf numFmtId="49" fontId="14" fillId="11" borderId="0" xfId="0" applyNumberFormat="1" applyFont="1" applyFill="1" applyAlignment="1">
      <alignment horizontal="center" vertical="center" wrapText="1"/>
    </xf>
    <xf numFmtId="0" fontId="13" fillId="12" borderId="1" xfId="0" applyFont="1" applyFill="1" applyBorder="1" applyAlignment="1">
      <alignment horizontal="left" vertical="center"/>
    </xf>
    <xf numFmtId="0" fontId="14" fillId="12" borderId="0" xfId="0" applyFont="1" applyFill="1" applyAlignment="1">
      <alignment vertical="center" wrapText="1"/>
    </xf>
    <xf numFmtId="0" fontId="14" fillId="12" borderId="0" xfId="0" applyFont="1" applyFill="1" applyAlignment="1">
      <alignment vertical="center"/>
    </xf>
    <xf numFmtId="0" fontId="11" fillId="11" borderId="0" xfId="0" applyFont="1" applyFill="1" applyAlignment="1">
      <alignment horizontal="center" vertical="center" wrapText="1"/>
    </xf>
    <xf numFmtId="0" fontId="12" fillId="11" borderId="0" xfId="0" applyFont="1" applyFill="1" applyAlignment="1">
      <alignment wrapText="1"/>
    </xf>
    <xf numFmtId="0" fontId="3" fillId="2" borderId="1" xfId="0" applyFont="1" applyFill="1" applyBorder="1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4" fillId="10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</cellXfs>
  <cellStyles count="1">
    <cellStyle name="Normal" xfId="0" builtinId="0"/>
  </cellStyles>
  <dxfs count="81"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475569"/>
      </font>
      <fill>
        <patternFill patternType="solid">
          <bgColor rgb="FFF1F5F9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F1239"/>
      </font>
      <fill>
        <patternFill patternType="solid">
          <bgColor rgb="FFFFE4E6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475569"/>
      </font>
      <fill>
        <patternFill patternType="solid">
          <bgColor rgb="FFF1F5F9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F1239"/>
      </font>
      <fill>
        <patternFill patternType="solid">
          <bgColor rgb="FFFFE4E6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475569"/>
      </font>
      <fill>
        <patternFill patternType="solid">
          <bgColor rgb="FFF1F5F9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F1239"/>
      </font>
      <fill>
        <patternFill patternType="solid">
          <bgColor rgb="FFFFE4E6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475569"/>
      </font>
      <fill>
        <patternFill patternType="solid">
          <bgColor rgb="FFF1F5F9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F1239"/>
      </font>
      <fill>
        <patternFill patternType="solid">
          <bgColor rgb="FFFFE4E6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475569"/>
      </font>
      <fill>
        <patternFill patternType="solid">
          <bgColor rgb="FFF1F5F9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F1239"/>
      </font>
      <fill>
        <patternFill patternType="solid">
          <bgColor rgb="FFFFE4E6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475569"/>
      </font>
      <fill>
        <patternFill patternType="solid">
          <bgColor rgb="FFF1F5F9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F1239"/>
      </font>
      <fill>
        <patternFill patternType="solid">
          <bgColor rgb="FFFFE4E6"/>
        </patternFill>
      </fill>
    </dxf>
    <dxf>
      <font>
        <b/>
        <color rgb="FF374151"/>
      </font>
      <fill>
        <patternFill patternType="solid">
          <bgColor rgb="FFE5E7EB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EFDA"/>
        </patternFill>
      </fill>
    </dxf>
    <dxf>
      <font>
        <color rgb="FF475569"/>
      </font>
      <fill>
        <patternFill patternType="solid">
          <bgColor rgb="FFF1F5F9"/>
        </patternFill>
      </fill>
    </dxf>
    <dxf>
      <font>
        <b/>
        <color rgb="FF1D4ED8"/>
      </font>
      <fill>
        <patternFill patternType="solid">
          <bgColor rgb="FFDBEAFE"/>
        </patternFill>
      </fill>
    </dxf>
    <dxf>
      <font>
        <b/>
        <color rgb="FF9A3412"/>
      </font>
      <fill>
        <patternFill patternType="solid">
          <bgColor rgb="FFFFEDD5"/>
        </patternFill>
      </fill>
    </dxf>
    <dxf>
      <font>
        <b/>
        <color rgb="FF9F1239"/>
      </font>
      <fill>
        <patternFill patternType="solid">
          <bgColor rgb="FFFFE4E6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Distribución de Estados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PANEL!$A$21:$A$24</c:f>
              <c:strCache>
                <c:ptCount val="4"/>
                <c:pt idx="0">
                  <c:v>✓ CUMPLE</c:v>
                </c:pt>
                <c:pt idx="1">
                  <c:v>⚠ PENDIENTE</c:v>
                </c:pt>
                <c:pt idx="2">
                  <c:v>✗ NO CUMPLE</c:v>
                </c:pt>
                <c:pt idx="3">
                  <c:v>N/A</c:v>
                </c:pt>
              </c:strCache>
            </c:strRef>
          </c:cat>
          <c:val>
            <c:numRef>
              <c:f>PANEL!$B$21:$B$24</c:f>
              <c:numCache>
                <c:formatCode>General</c:formatCode>
                <c:ptCount val="4"/>
                <c:pt idx="0">
                  <c:v>32</c:v>
                </c:pt>
                <c:pt idx="1">
                  <c:v>119</c:v>
                </c:pt>
                <c:pt idx="2">
                  <c:v>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B-439D-85B6-36BAE8311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MX"/>
              <a:t>Críticos en Riesgo por Módulo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Críticos</c:v>
          </c:tx>
          <c:invertIfNegative val="1"/>
          <c:cat>
            <c:strRef>
              <c:f>PANEL!$L$20:$L$26</c:f>
              <c:strCache>
                <c:ptCount val="7"/>
                <c:pt idx="0">
                  <c:v>1. Revisión de Bases</c:v>
                </c:pt>
                <c:pt idx="1">
                  <c:v>2. Equipo / CV</c:v>
                </c:pt>
                <c:pt idx="2">
                  <c:v>3. Metodología</c:v>
                </c:pt>
                <c:pt idx="3">
                  <c:v>4. Oferta Económica</c:v>
                </c:pt>
                <c:pt idx="4">
                  <c:v>5. Control Documental</c:v>
                </c:pt>
                <c:pt idx="5">
                  <c:v>6. Gestión de Calidad</c:v>
                </c:pt>
                <c:pt idx="6">
                  <c:v>7. Cierre y Entrega</c:v>
                </c:pt>
              </c:strCache>
            </c:strRef>
          </c:cat>
          <c:val>
            <c:numRef>
              <c:f>PANEL!$M$20:$M$26</c:f>
              <c:numCache>
                <c:formatCode>General</c:formatCode>
                <c:ptCount val="7"/>
                <c:pt idx="0">
                  <c:v>19</c:v>
                </c:pt>
                <c:pt idx="1">
                  <c:v>14</c:v>
                </c:pt>
                <c:pt idx="2">
                  <c:v>1</c:v>
                </c:pt>
                <c:pt idx="3">
                  <c:v>2</c:v>
                </c:pt>
                <c:pt idx="4">
                  <c:v>6</c:v>
                </c:pt>
                <c:pt idx="5">
                  <c:v>6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6-471A-96F0-63215A9AD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18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32</xdr:row>
      <xdr:rowOff>0</xdr:rowOff>
    </xdr:from>
    <xdr:to>
      <xdr:col>14</xdr:col>
      <xdr:colOff>0</xdr:colOff>
      <xdr:row>45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showGridLines="0" workbookViewId="0">
      <selection activeCell="C54" sqref="C54"/>
    </sheetView>
  </sheetViews>
  <sheetFormatPr baseColWidth="10" defaultColWidth="9.140625" defaultRowHeight="15" x14ac:dyDescent="0.25"/>
  <cols>
    <col min="1" max="1" width="23" customWidth="1"/>
    <col min="2" max="2" width="16.5703125" customWidth="1"/>
    <col min="3" max="3" width="10.42578125" customWidth="1"/>
    <col min="4" max="5" width="10" customWidth="1"/>
    <col min="6" max="6" width="12" customWidth="1"/>
    <col min="7" max="7" width="10" customWidth="1"/>
    <col min="8" max="8" width="12" customWidth="1"/>
    <col min="9" max="9" width="13" customWidth="1"/>
    <col min="10" max="10" width="19" customWidth="1"/>
    <col min="11" max="11" width="30" customWidth="1"/>
    <col min="12" max="14" width="10" customWidth="1"/>
  </cols>
  <sheetData>
    <row r="1" spans="1:14" ht="32.1" customHeight="1" x14ac:dyDescent="0.2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</row>
    <row r="2" spans="1:14" ht="21.95" customHeight="1" x14ac:dyDescent="0.25">
      <c r="A2" s="40" t="str">
        <f ca="1">"Última actualización: "&amp;TEXT(TODAY(),"dd-mm-yyyy")&amp;"  |  Control dinámico con dropdowns por Estado, Prioridad y Responsable"</f>
        <v>Última actualización: 22-05-yyyy  |  Control dinámico con dropdowns por Estado, Prioridad y Responsable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14.1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ht="18" customHeight="1" x14ac:dyDescent="0.25">
      <c r="A4" s="38" t="s">
        <v>1</v>
      </c>
      <c r="B4" s="38"/>
      <c r="C4" s="38" t="s">
        <v>2</v>
      </c>
      <c r="D4" s="38"/>
      <c r="E4" s="38" t="s">
        <v>3</v>
      </c>
      <c r="F4" s="38"/>
      <c r="G4" s="38" t="s">
        <v>4</v>
      </c>
      <c r="H4" s="38"/>
      <c r="I4" s="38" t="s">
        <v>5</v>
      </c>
      <c r="J4" s="38"/>
      <c r="K4" s="38" t="s">
        <v>6</v>
      </c>
      <c r="L4" s="38"/>
      <c r="M4" s="38"/>
      <c r="N4" s="38"/>
    </row>
    <row r="5" spans="1:14" ht="24.95" customHeight="1" x14ac:dyDescent="0.25">
      <c r="A5" s="41">
        <f>SUM(C10:C16)</f>
        <v>155</v>
      </c>
      <c r="B5" s="41"/>
      <c r="C5" s="42">
        <f>IFERROR((SUM(D10:D16)+SUM(G10:G16))/SUM(C10:C16),0)</f>
        <v>0.20645161290322581</v>
      </c>
      <c r="D5" s="42"/>
      <c r="E5" s="41">
        <f>SUM(E10:E16)</f>
        <v>119</v>
      </c>
      <c r="F5" s="41"/>
      <c r="G5" s="41">
        <f>SUM(F10:F16)</f>
        <v>4</v>
      </c>
      <c r="H5" s="41"/>
      <c r="I5" s="41">
        <f>SUM(I10:I16)</f>
        <v>61</v>
      </c>
      <c r="J5" s="41"/>
      <c r="K5" s="43" t="str">
        <f>IF(I5&gt;0,"NO GO / ACCIÓN",IF(G5&gt;0,"ALERTA",IF(C5&gt;=0.95,"GO","EN CURSO")))</f>
        <v>NO GO / ACCIÓN</v>
      </c>
      <c r="L5" s="43"/>
      <c r="M5" s="43"/>
      <c r="N5" s="43"/>
    </row>
    <row r="6" spans="1:14" ht="24.95" customHeight="1" x14ac:dyDescent="0.25">
      <c r="A6" s="41"/>
      <c r="B6" s="41"/>
      <c r="C6" s="42"/>
      <c r="D6" s="42"/>
      <c r="E6" s="41"/>
      <c r="F6" s="41"/>
      <c r="G6" s="41"/>
      <c r="H6" s="41"/>
      <c r="I6" s="41"/>
      <c r="J6" s="41"/>
      <c r="K6" s="43"/>
      <c r="L6" s="43"/>
      <c r="M6" s="43"/>
      <c r="N6" s="43"/>
    </row>
    <row r="7" spans="1:14" ht="20.100000000000001" customHeigh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</row>
    <row r="8" spans="1:14" ht="20.100000000000001" customHeight="1" x14ac:dyDescent="0.25">
      <c r="A8" s="39" t="s">
        <v>7</v>
      </c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</row>
    <row r="9" spans="1:14" ht="30" x14ac:dyDescent="0.25">
      <c r="A9" s="28" t="s">
        <v>8</v>
      </c>
      <c r="B9" s="28" t="s">
        <v>9</v>
      </c>
      <c r="C9" s="28" t="s">
        <v>10</v>
      </c>
      <c r="D9" s="28" t="s">
        <v>11</v>
      </c>
      <c r="E9" s="28" t="s">
        <v>12</v>
      </c>
      <c r="F9" s="28" t="s">
        <v>13</v>
      </c>
      <c r="G9" s="28" t="s">
        <v>14</v>
      </c>
      <c r="H9" s="28" t="s">
        <v>2</v>
      </c>
      <c r="I9" s="28" t="s">
        <v>15</v>
      </c>
      <c r="J9" s="28" t="s">
        <v>16</v>
      </c>
      <c r="K9" s="28" t="s">
        <v>17</v>
      </c>
      <c r="L9" s="29"/>
      <c r="M9" s="29"/>
      <c r="N9" s="29"/>
    </row>
    <row r="10" spans="1:14" ht="32.1" customHeight="1" x14ac:dyDescent="0.25">
      <c r="A10" s="29" t="s">
        <v>18</v>
      </c>
      <c r="B10" s="29" t="s">
        <v>19</v>
      </c>
      <c r="C10" s="29">
        <f>COUNT(BASES!$B$7:$B$39)</f>
        <v>27</v>
      </c>
      <c r="D10" s="29">
        <f>COUNTIF(BASES!$F$7:$F$39,"✓ CUMPLE")</f>
        <v>0</v>
      </c>
      <c r="E10" s="29">
        <f>COUNTIF(BASES!$F$7:$F$39,"⚠ PENDIENTE")</f>
        <v>27</v>
      </c>
      <c r="F10" s="29">
        <f>COUNTIF(BASES!$F$7:$F$39,"✗ NO CUMPLE")</f>
        <v>0</v>
      </c>
      <c r="G10" s="29">
        <f>COUNTIF(BASES!$F$7:$F$39,"N/A")</f>
        <v>0</v>
      </c>
      <c r="H10" s="30">
        <f t="shared" ref="H10:H17" si="0">IFERROR((D10+G10)/C10,0)</f>
        <v>0</v>
      </c>
      <c r="I10" s="29">
        <f>COUNTIFS(BASES!$E$7:$E$39,"CRÍTICO",BASES!$F$7:$F$39,"⚠ PENDIENTE")+COUNTIFS(BASES!$E$7:$E$39,"CRÍTICO",BASES!$F$7:$F$39,"✗ NO CUMPLE")</f>
        <v>19</v>
      </c>
      <c r="J10" s="29" t="str">
        <f t="shared" ref="J10:J16" si="1">IF(I10&gt;0,"Resolver críticos",IF(F10&gt;0,"Corregir no cumple",IF(E10&gt;0,"Cerrar pendientes","Control OK")))</f>
        <v>Resolver críticos</v>
      </c>
      <c r="K10" s="29" t="str">
        <f t="shared" ref="K10:K16" si="2">IF(I10&gt;0,"Escalar a Jefe Propuesta",IF(F10&gt;0,"Corregir evidencia / documento",IF(E10&gt;0,"Asignar fecha de cierre","Mantener monitoreo")))</f>
        <v>Escalar a Jefe Propuesta</v>
      </c>
      <c r="L10" s="29"/>
      <c r="M10" s="29"/>
      <c r="N10" s="29"/>
    </row>
    <row r="11" spans="1:14" ht="32.1" customHeight="1" x14ac:dyDescent="0.25">
      <c r="A11" s="29" t="s">
        <v>20</v>
      </c>
      <c r="B11" s="29" t="s">
        <v>21</v>
      </c>
      <c r="C11" s="29">
        <f>COUNT(PERSONAL!$B$7:$B$39)</f>
        <v>27</v>
      </c>
      <c r="D11" s="29">
        <f>COUNTIF(PERSONAL!$F$7:$F$39,"✓ CUMPLE")</f>
        <v>0</v>
      </c>
      <c r="E11" s="29">
        <f>COUNTIF(PERSONAL!$F$7:$F$39,"⚠ PENDIENTE")</f>
        <v>27</v>
      </c>
      <c r="F11" s="29">
        <f>COUNTIF(PERSONAL!$F$7:$F$39,"✗ NO CUMPLE")</f>
        <v>0</v>
      </c>
      <c r="G11" s="29">
        <f>COUNTIF(PERSONAL!$F$7:$F$39,"N/A")</f>
        <v>0</v>
      </c>
      <c r="H11" s="30">
        <f t="shared" si="0"/>
        <v>0</v>
      </c>
      <c r="I11" s="29">
        <f>COUNTIFS(PERSONAL!$E$7:$E$39,"CRÍTICO",PERSONAL!$F$7:$F$39,"⚠ PENDIENTE")+COUNTIFS(PERSONAL!$E$7:$E$39,"CRÍTICO",PERSONAL!$F$7:$F$39,"✗ NO CUMPLE")</f>
        <v>14</v>
      </c>
      <c r="J11" s="29" t="str">
        <f t="shared" si="1"/>
        <v>Resolver críticos</v>
      </c>
      <c r="K11" s="29" t="str">
        <f t="shared" si="2"/>
        <v>Escalar a Jefe Propuesta</v>
      </c>
      <c r="L11" s="29"/>
      <c r="M11" s="29"/>
      <c r="N11" s="29"/>
    </row>
    <row r="12" spans="1:14" ht="32.1" customHeight="1" x14ac:dyDescent="0.25">
      <c r="A12" s="29" t="s">
        <v>22</v>
      </c>
      <c r="B12" s="29" t="s">
        <v>23</v>
      </c>
      <c r="C12" s="29">
        <f>COUNT(METODOLOGIA!$B$7:$B$39)</f>
        <v>20</v>
      </c>
      <c r="D12" s="29">
        <f>COUNTIF(METODOLOGIA!$F$7:$F$39,"✓ CUMPLE")</f>
        <v>9</v>
      </c>
      <c r="E12" s="29">
        <f>COUNTIF(METODOLOGIA!$F$7:$F$39,"⚠ PENDIENTE")</f>
        <v>10</v>
      </c>
      <c r="F12" s="29">
        <f>COUNTIF(METODOLOGIA!$F$7:$F$39,"✗ NO CUMPLE")</f>
        <v>1</v>
      </c>
      <c r="G12" s="29">
        <f>COUNTIF(METODOLOGIA!$F$7:$F$39,"N/A")</f>
        <v>0</v>
      </c>
      <c r="H12" s="30">
        <f t="shared" si="0"/>
        <v>0.45</v>
      </c>
      <c r="I12" s="29">
        <f>COUNTIFS(METODOLOGIA!$E$7:$E$39,"CRÍTICO",METODOLOGIA!$F$7:$F$39,"⚠ PENDIENTE")+COUNTIFS(METODOLOGIA!$E$7:$E$39,"CRÍTICO",METODOLOGIA!$F$7:$F$39,"✗ NO CUMPLE")</f>
        <v>1</v>
      </c>
      <c r="J12" s="29" t="str">
        <f t="shared" si="1"/>
        <v>Resolver críticos</v>
      </c>
      <c r="K12" s="29" t="str">
        <f t="shared" si="2"/>
        <v>Escalar a Jefe Propuesta</v>
      </c>
      <c r="L12" s="29"/>
      <c r="M12" s="29"/>
      <c r="N12" s="29"/>
    </row>
    <row r="13" spans="1:14" ht="32.1" customHeight="1" x14ac:dyDescent="0.25">
      <c r="A13" s="29" t="s">
        <v>24</v>
      </c>
      <c r="B13" s="29" t="s">
        <v>25</v>
      </c>
      <c r="C13" s="29">
        <f>COUNT(ECONOMICA!$B$7:$B$39)</f>
        <v>20</v>
      </c>
      <c r="D13" s="29">
        <f>COUNTIF(ECONOMICA!$F$7:$F$39,"✓ CUMPLE")</f>
        <v>15</v>
      </c>
      <c r="E13" s="29">
        <f>COUNTIF(ECONOMICA!$F$7:$F$39,"⚠ PENDIENTE")</f>
        <v>2</v>
      </c>
      <c r="F13" s="29">
        <f>COUNTIF(ECONOMICA!$F$7:$F$39,"✗ NO CUMPLE")</f>
        <v>3</v>
      </c>
      <c r="G13" s="29">
        <f>COUNTIF(ECONOMICA!$F$7:$F$39,"N/A")</f>
        <v>0</v>
      </c>
      <c r="H13" s="30">
        <f t="shared" si="0"/>
        <v>0.75</v>
      </c>
      <c r="I13" s="29">
        <f>COUNTIFS(ECONOMICA!$E$7:$E$39,"CRÍTICO",ECONOMICA!$F$7:$F$39,"⚠ PENDIENTE")+COUNTIFS(ECONOMICA!$E$7:$E$39,"CRÍTICO",ECONOMICA!$F$7:$F$39,"✗ NO CUMPLE")</f>
        <v>2</v>
      </c>
      <c r="J13" s="29" t="str">
        <f t="shared" si="1"/>
        <v>Resolver críticos</v>
      </c>
      <c r="K13" s="29" t="str">
        <f t="shared" si="2"/>
        <v>Escalar a Jefe Propuesta</v>
      </c>
      <c r="L13" s="29"/>
      <c r="M13" s="29"/>
      <c r="N13" s="29"/>
    </row>
    <row r="14" spans="1:14" ht="32.1" customHeight="1" x14ac:dyDescent="0.25">
      <c r="A14" s="29" t="s">
        <v>26</v>
      </c>
      <c r="B14" s="29" t="s">
        <v>27</v>
      </c>
      <c r="C14" s="29">
        <f>COUNT(DOCUMENTAL!$B$7:$B$39)</f>
        <v>23</v>
      </c>
      <c r="D14" s="29">
        <f>COUNTIF(DOCUMENTAL!$F$7:$F$39,"✓ CUMPLE")</f>
        <v>8</v>
      </c>
      <c r="E14" s="29">
        <f>COUNTIF(DOCUMENTAL!$F$7:$F$39,"⚠ PENDIENTE")</f>
        <v>15</v>
      </c>
      <c r="F14" s="29">
        <f>COUNTIF(DOCUMENTAL!$F$7:$F$39,"✗ NO CUMPLE")</f>
        <v>0</v>
      </c>
      <c r="G14" s="29">
        <f>COUNTIF(DOCUMENTAL!$F$7:$F$39,"N/A")</f>
        <v>0</v>
      </c>
      <c r="H14" s="30">
        <f t="shared" si="0"/>
        <v>0.34782608695652173</v>
      </c>
      <c r="I14" s="29">
        <f>COUNTIFS(DOCUMENTAL!$E$7:$E$39,"CRÍTICO",DOCUMENTAL!$F$7:$F$39,"⚠ PENDIENTE")+COUNTIFS(DOCUMENTAL!$E$7:$E$39,"CRÍTICO",DOCUMENTAL!$F$7:$F$39,"✗ NO CUMPLE")</f>
        <v>6</v>
      </c>
      <c r="J14" s="29" t="str">
        <f t="shared" si="1"/>
        <v>Resolver críticos</v>
      </c>
      <c r="K14" s="29" t="str">
        <f t="shared" si="2"/>
        <v>Escalar a Jefe Propuesta</v>
      </c>
      <c r="L14" s="29"/>
      <c r="M14" s="29"/>
      <c r="N14" s="29"/>
    </row>
    <row r="15" spans="1:14" ht="32.1" customHeight="1" x14ac:dyDescent="0.25">
      <c r="A15" s="29" t="s">
        <v>28</v>
      </c>
      <c r="B15" s="29" t="s">
        <v>29</v>
      </c>
      <c r="C15" s="29">
        <f>COUNT(CALIDAD!$B$7:$B$39)</f>
        <v>16</v>
      </c>
      <c r="D15" s="29">
        <f>COUNTIF(CALIDAD!$F$7:$F$39,"✓ CUMPLE")</f>
        <v>0</v>
      </c>
      <c r="E15" s="29">
        <f>COUNTIF(CALIDAD!$F$7:$F$39,"⚠ PENDIENTE")</f>
        <v>16</v>
      </c>
      <c r="F15" s="29">
        <f>COUNTIF(CALIDAD!$F$7:$F$39,"✗ NO CUMPLE")</f>
        <v>0</v>
      </c>
      <c r="G15" s="29">
        <f>COUNTIF(CALIDAD!$F$7:$F$39,"N/A")</f>
        <v>0</v>
      </c>
      <c r="H15" s="30">
        <f t="shared" si="0"/>
        <v>0</v>
      </c>
      <c r="I15" s="29">
        <f>COUNTIFS(CALIDAD!$E$7:$E$39,"CRÍTICO",CALIDAD!$F$7:$F$39,"⚠ PENDIENTE")+COUNTIFS(CALIDAD!$E$7:$E$39,"CRÍTICO",CALIDAD!$F$7:$F$39,"✗ NO CUMPLE")</f>
        <v>6</v>
      </c>
      <c r="J15" s="29" t="str">
        <f t="shared" si="1"/>
        <v>Resolver críticos</v>
      </c>
      <c r="K15" s="29" t="str">
        <f t="shared" si="2"/>
        <v>Escalar a Jefe Propuesta</v>
      </c>
      <c r="L15" s="29"/>
      <c r="M15" s="29"/>
      <c r="N15" s="29"/>
    </row>
    <row r="16" spans="1:14" ht="32.1" customHeight="1" x14ac:dyDescent="0.25">
      <c r="A16" s="29" t="s">
        <v>30</v>
      </c>
      <c r="B16" s="29" t="s">
        <v>31</v>
      </c>
      <c r="C16" s="29">
        <f>COUNT(CIERRE!$B$7:$B$39)</f>
        <v>22</v>
      </c>
      <c r="D16" s="29">
        <f>COUNTIF(CIERRE!$F$7:$F$39,"✓ CUMPLE")</f>
        <v>0</v>
      </c>
      <c r="E16" s="29">
        <f>COUNTIF(CIERRE!$F$7:$F$39,"⚠ PENDIENTE")</f>
        <v>22</v>
      </c>
      <c r="F16" s="29">
        <f>COUNTIF(CIERRE!$F$7:$F$39,"✗ NO CUMPLE")</f>
        <v>0</v>
      </c>
      <c r="G16" s="29">
        <f>COUNTIF(CIERRE!$F$7:$F$39,"N/A")</f>
        <v>0</v>
      </c>
      <c r="H16" s="30">
        <f t="shared" si="0"/>
        <v>0</v>
      </c>
      <c r="I16" s="29">
        <f>COUNTIFS(CIERRE!$E$7:$E$39,"CRÍTICO",CIERRE!$F$7:$F$39,"⚠ PENDIENTE")+COUNTIFS(CIERRE!$E$7:$E$39,"CRÍTICO",CIERRE!$F$7:$F$39,"✗ NO CUMPLE")</f>
        <v>13</v>
      </c>
      <c r="J16" s="29" t="str">
        <f t="shared" si="1"/>
        <v>Resolver críticos</v>
      </c>
      <c r="K16" s="29" t="str">
        <f t="shared" si="2"/>
        <v>Escalar a Jefe Propuesta</v>
      </c>
      <c r="L16" s="29"/>
      <c r="M16" s="29"/>
      <c r="N16" s="29"/>
    </row>
    <row r="17" spans="1:14" ht="21.95" customHeight="1" x14ac:dyDescent="0.25">
      <c r="A17" s="31" t="s">
        <v>32</v>
      </c>
      <c r="B17" s="31"/>
      <c r="C17" s="31">
        <f>SUM(C10:C16)</f>
        <v>155</v>
      </c>
      <c r="D17" s="31">
        <f>SUM(D10:D16)</f>
        <v>32</v>
      </c>
      <c r="E17" s="31">
        <f>SUM(E10:E16)</f>
        <v>119</v>
      </c>
      <c r="F17" s="31">
        <f>SUM(F10:F16)</f>
        <v>4</v>
      </c>
      <c r="G17" s="31">
        <f>SUM(G10:G16)</f>
        <v>0</v>
      </c>
      <c r="H17" s="32">
        <f t="shared" si="0"/>
        <v>0.20645161290322581</v>
      </c>
      <c r="I17" s="31">
        <f>SUM(I10:I16)</f>
        <v>61</v>
      </c>
      <c r="J17" s="31" t="str">
        <f>IF(I17&gt;0,"RIESGO CRÍTICO",IF(F17&gt;0,"ALERTA","BAJO CONTROL"))</f>
        <v>RIESGO CRÍTICO</v>
      </c>
      <c r="K17" s="31" t="str">
        <f>IF(I17&gt;0,"Reunión de cierre + plan correctivo",IF(E17&gt;0,"Priorizar pendientes","Lista para revisión final"))</f>
        <v>Reunión de cierre + plan correctivo</v>
      </c>
      <c r="L17" s="29"/>
      <c r="M17" s="29"/>
      <c r="N17" s="29"/>
    </row>
    <row r="18" spans="1:14" ht="30" customHeight="1" x14ac:dyDescent="0.2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</row>
    <row r="19" spans="1:14" ht="20.100000000000001" customHeight="1" x14ac:dyDescent="0.25">
      <c r="A19" s="38" t="s">
        <v>33</v>
      </c>
      <c r="B19" s="38"/>
      <c r="C19" s="38"/>
      <c r="D19" s="38" t="s">
        <v>34</v>
      </c>
      <c r="E19" s="38"/>
      <c r="F19" s="38"/>
      <c r="G19" s="38"/>
      <c r="H19" s="29"/>
      <c r="I19" s="29"/>
      <c r="J19" s="29"/>
      <c r="K19" s="29"/>
      <c r="L19" s="34" t="s">
        <v>35</v>
      </c>
      <c r="M19" s="34" t="s">
        <v>36</v>
      </c>
      <c r="N19" s="29"/>
    </row>
    <row r="20" spans="1:14" ht="20.100000000000001" customHeight="1" x14ac:dyDescent="0.25">
      <c r="A20" s="28" t="s">
        <v>37</v>
      </c>
      <c r="B20" s="28" t="s">
        <v>38</v>
      </c>
      <c r="C20" s="28" t="s">
        <v>39</v>
      </c>
      <c r="D20" s="39" t="s">
        <v>35</v>
      </c>
      <c r="E20" s="39"/>
      <c r="F20" s="39"/>
      <c r="G20" s="28" t="s">
        <v>36</v>
      </c>
      <c r="H20" s="29"/>
      <c r="I20" s="29"/>
      <c r="J20" s="29"/>
      <c r="K20" s="29"/>
      <c r="L20" s="34" t="str">
        <f t="shared" ref="L20:L26" si="3">A10</f>
        <v>1. Revisión de Bases</v>
      </c>
      <c r="M20" s="34">
        <f t="shared" ref="M20:M26" si="4">I10</f>
        <v>19</v>
      </c>
      <c r="N20" s="29"/>
    </row>
    <row r="21" spans="1:14" ht="20.100000000000001" customHeight="1" x14ac:dyDescent="0.25">
      <c r="A21" s="29" t="s">
        <v>11</v>
      </c>
      <c r="B21" s="36">
        <f>D17</f>
        <v>32</v>
      </c>
      <c r="C21" s="35">
        <f>IFERROR(B21/$C$17,0)</f>
        <v>0.20645161290322581</v>
      </c>
      <c r="D21" s="37" t="str">
        <f t="shared" ref="D21:D27" si="5">A10</f>
        <v>1. Revisión de Bases</v>
      </c>
      <c r="E21" s="37"/>
      <c r="F21" s="37"/>
      <c r="G21" s="36">
        <f t="shared" ref="G21:G27" si="6">I10</f>
        <v>19</v>
      </c>
      <c r="H21" s="29"/>
      <c r="I21" s="29"/>
      <c r="J21" s="29"/>
      <c r="K21" s="29"/>
      <c r="L21" s="34" t="str">
        <f t="shared" si="3"/>
        <v>2. Equipo / CV</v>
      </c>
      <c r="M21" s="34">
        <f t="shared" si="4"/>
        <v>14</v>
      </c>
      <c r="N21" s="29"/>
    </row>
    <row r="22" spans="1:14" ht="20.100000000000001" customHeight="1" x14ac:dyDescent="0.25">
      <c r="A22" s="29" t="s">
        <v>40</v>
      </c>
      <c r="B22" s="36">
        <f>E17</f>
        <v>119</v>
      </c>
      <c r="C22" s="35">
        <f>IFERROR(B22/$C$17,0)</f>
        <v>0.76774193548387093</v>
      </c>
      <c r="D22" s="37" t="str">
        <f t="shared" si="5"/>
        <v>2. Equipo / CV</v>
      </c>
      <c r="E22" s="37"/>
      <c r="F22" s="37"/>
      <c r="G22" s="36">
        <f t="shared" si="6"/>
        <v>14</v>
      </c>
      <c r="H22" s="29"/>
      <c r="I22" s="29"/>
      <c r="J22" s="29"/>
      <c r="K22" s="29"/>
      <c r="L22" s="34" t="str">
        <f t="shared" si="3"/>
        <v>3. Metodología</v>
      </c>
      <c r="M22" s="34">
        <f t="shared" si="4"/>
        <v>1</v>
      </c>
      <c r="N22" s="29"/>
    </row>
    <row r="23" spans="1:14" ht="20.100000000000001" customHeight="1" x14ac:dyDescent="0.25">
      <c r="A23" s="29" t="s">
        <v>13</v>
      </c>
      <c r="B23" s="36">
        <f>F17</f>
        <v>4</v>
      </c>
      <c r="C23" s="35">
        <f>IFERROR(B23/$C$17,0)</f>
        <v>2.5806451612903226E-2</v>
      </c>
      <c r="D23" s="37" t="str">
        <f t="shared" si="5"/>
        <v>3. Metodología</v>
      </c>
      <c r="E23" s="37"/>
      <c r="F23" s="37"/>
      <c r="G23" s="36">
        <f t="shared" si="6"/>
        <v>1</v>
      </c>
      <c r="H23" s="29"/>
      <c r="I23" s="29"/>
      <c r="J23" s="29"/>
      <c r="K23" s="29"/>
      <c r="L23" s="34" t="str">
        <f t="shared" si="3"/>
        <v>4. Oferta Económica</v>
      </c>
      <c r="M23" s="34">
        <f t="shared" si="4"/>
        <v>2</v>
      </c>
      <c r="N23" s="29"/>
    </row>
    <row r="24" spans="1:14" ht="20.100000000000001" customHeight="1" x14ac:dyDescent="0.25">
      <c r="A24" s="29" t="s">
        <v>14</v>
      </c>
      <c r="B24" s="36">
        <f>G17</f>
        <v>0</v>
      </c>
      <c r="C24" s="35">
        <f>IFERROR(B24/$C$17,0)</f>
        <v>0</v>
      </c>
      <c r="D24" s="37" t="str">
        <f t="shared" si="5"/>
        <v>4. Oferta Económica</v>
      </c>
      <c r="E24" s="37"/>
      <c r="F24" s="37"/>
      <c r="G24" s="36">
        <f t="shared" si="6"/>
        <v>2</v>
      </c>
      <c r="H24" s="29"/>
      <c r="I24" s="29"/>
      <c r="J24" s="29"/>
      <c r="K24" s="29"/>
      <c r="L24" s="34" t="str">
        <f t="shared" si="3"/>
        <v>5. Control Documental</v>
      </c>
      <c r="M24" s="34">
        <f t="shared" si="4"/>
        <v>6</v>
      </c>
      <c r="N24" s="29"/>
    </row>
    <row r="25" spans="1:14" ht="20.100000000000001" customHeight="1" x14ac:dyDescent="0.25">
      <c r="A25" s="29"/>
      <c r="B25" s="29"/>
      <c r="C25" s="29"/>
      <c r="D25" s="37" t="str">
        <f t="shared" si="5"/>
        <v>5. Control Documental</v>
      </c>
      <c r="E25" s="37"/>
      <c r="F25" s="37"/>
      <c r="G25" s="36">
        <f t="shared" si="6"/>
        <v>6</v>
      </c>
      <c r="H25" s="29"/>
      <c r="I25" s="29"/>
      <c r="J25" s="29"/>
      <c r="K25" s="29"/>
      <c r="L25" s="34" t="str">
        <f t="shared" si="3"/>
        <v>6. Gestión de Calidad</v>
      </c>
      <c r="M25" s="34">
        <f t="shared" si="4"/>
        <v>6</v>
      </c>
      <c r="N25" s="29"/>
    </row>
    <row r="26" spans="1:14" ht="21.95" customHeight="1" x14ac:dyDescent="0.25">
      <c r="A26" s="29"/>
      <c r="B26" s="29"/>
      <c r="C26" s="29"/>
      <c r="D26" s="37" t="str">
        <f t="shared" si="5"/>
        <v>6. Gestión de Calidad</v>
      </c>
      <c r="E26" s="37"/>
      <c r="F26" s="37"/>
      <c r="G26" s="36">
        <f t="shared" si="6"/>
        <v>6</v>
      </c>
      <c r="H26" s="29"/>
      <c r="I26" s="29"/>
      <c r="J26" s="29"/>
      <c r="K26" s="29"/>
      <c r="L26" s="34" t="str">
        <f t="shared" si="3"/>
        <v>7. Cierre y Entrega</v>
      </c>
      <c r="M26" s="34">
        <f t="shared" si="4"/>
        <v>13</v>
      </c>
      <c r="N26" s="29"/>
    </row>
    <row r="27" spans="1:14" x14ac:dyDescent="0.25">
      <c r="A27" s="29"/>
      <c r="B27" s="29"/>
      <c r="C27" s="29"/>
      <c r="D27" s="37" t="str">
        <f t="shared" si="5"/>
        <v>7. Cierre y Entrega</v>
      </c>
      <c r="E27" s="37"/>
      <c r="F27" s="37"/>
      <c r="G27" s="36">
        <f t="shared" si="6"/>
        <v>13</v>
      </c>
      <c r="H27" s="29"/>
      <c r="I27" s="29"/>
      <c r="J27" s="29"/>
      <c r="K27" s="29"/>
      <c r="L27" s="29"/>
      <c r="M27" s="29"/>
      <c r="N27" s="29"/>
    </row>
    <row r="28" spans="1:14" ht="20.100000000000001" customHeight="1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</row>
    <row r="29" spans="1:14" ht="18" customHeight="1" x14ac:dyDescent="0.25">
      <c r="A29" s="38" t="s">
        <v>41</v>
      </c>
      <c r="B29" s="38"/>
      <c r="C29" s="38"/>
      <c r="D29" s="38"/>
      <c r="E29" s="38"/>
      <c r="F29" s="38"/>
      <c r="G29" s="38"/>
      <c r="H29" s="29"/>
      <c r="I29" s="29"/>
      <c r="J29" s="29"/>
      <c r="K29" s="29"/>
      <c r="L29" s="29"/>
      <c r="M29" s="29"/>
      <c r="N29" s="29"/>
    </row>
    <row r="30" spans="1:14" x14ac:dyDescent="0.25">
      <c r="A30" s="33" t="s">
        <v>42</v>
      </c>
      <c r="B30" s="37" t="s">
        <v>43</v>
      </c>
      <c r="C30" s="37"/>
      <c r="D30" s="37"/>
      <c r="E30" s="37"/>
      <c r="F30" s="37"/>
      <c r="G30" s="37"/>
      <c r="H30" s="29"/>
      <c r="I30" s="29"/>
      <c r="J30" s="29"/>
      <c r="K30" s="29"/>
      <c r="L30" s="29"/>
      <c r="M30" s="29"/>
      <c r="N30" s="29"/>
    </row>
    <row r="31" spans="1:14" x14ac:dyDescent="0.25">
      <c r="A31" s="33" t="s">
        <v>44</v>
      </c>
      <c r="B31" s="37" t="s">
        <v>45</v>
      </c>
      <c r="C31" s="37"/>
      <c r="D31" s="37"/>
      <c r="E31" s="37"/>
      <c r="F31" s="37"/>
      <c r="G31" s="37"/>
      <c r="H31" s="29"/>
      <c r="I31" s="29"/>
      <c r="J31" s="29"/>
      <c r="K31" s="29"/>
      <c r="L31" s="29"/>
      <c r="M31" s="29"/>
      <c r="N31" s="29"/>
    </row>
    <row r="32" spans="1:14" x14ac:dyDescent="0.25">
      <c r="A32" s="33" t="s">
        <v>46</v>
      </c>
      <c r="B32" s="37" t="s">
        <v>47</v>
      </c>
      <c r="C32" s="37"/>
      <c r="D32" s="37"/>
      <c r="E32" s="37"/>
      <c r="F32" s="37"/>
      <c r="G32" s="37"/>
      <c r="H32" s="29"/>
      <c r="I32" s="29"/>
      <c r="J32" s="29"/>
      <c r="K32" s="29"/>
      <c r="L32" s="29"/>
      <c r="M32" s="29"/>
      <c r="N32" s="29"/>
    </row>
    <row r="33" spans="1:14" x14ac:dyDescent="0.25">
      <c r="A33" s="33" t="s">
        <v>48</v>
      </c>
      <c r="B33" s="37" t="s">
        <v>49</v>
      </c>
      <c r="C33" s="37"/>
      <c r="D33" s="37"/>
      <c r="E33" s="37"/>
      <c r="F33" s="37"/>
      <c r="G33" s="37"/>
      <c r="H33" s="29"/>
      <c r="I33" s="29"/>
      <c r="J33" s="29"/>
      <c r="K33" s="29"/>
      <c r="L33" s="29"/>
      <c r="M33" s="29"/>
      <c r="N33" s="29"/>
    </row>
    <row r="34" spans="1:14" x14ac:dyDescent="0.25">
      <c r="A34" s="33" t="s">
        <v>50</v>
      </c>
      <c r="B34" s="37" t="s">
        <v>51</v>
      </c>
      <c r="C34" s="37"/>
      <c r="D34" s="37"/>
      <c r="E34" s="37"/>
      <c r="F34" s="37"/>
      <c r="G34" s="37"/>
      <c r="H34" s="29"/>
      <c r="I34" s="29"/>
      <c r="J34" s="29"/>
      <c r="K34" s="29"/>
      <c r="L34" s="29"/>
      <c r="M34" s="29"/>
      <c r="N34" s="29"/>
    </row>
    <row r="35" spans="1:14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 spans="1:14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</row>
    <row r="38" spans="1:14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  <row r="39" spans="1:14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spans="1:14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</row>
    <row r="41" spans="1:14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</row>
    <row r="42" spans="1:14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  <row r="43" spans="1:14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</row>
    <row r="44" spans="1:14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</row>
    <row r="45" spans="1:14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  <row r="46" spans="1:14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</row>
  </sheetData>
  <mergeCells count="31">
    <mergeCell ref="A1:N1"/>
    <mergeCell ref="A2:N2"/>
    <mergeCell ref="A4:B4"/>
    <mergeCell ref="A5:B6"/>
    <mergeCell ref="C4:D4"/>
    <mergeCell ref="C5:D6"/>
    <mergeCell ref="E4:F4"/>
    <mergeCell ref="E5:F6"/>
    <mergeCell ref="G4:H4"/>
    <mergeCell ref="G5:H6"/>
    <mergeCell ref="I4:J4"/>
    <mergeCell ref="I5:J6"/>
    <mergeCell ref="K4:N4"/>
    <mergeCell ref="K5:N6"/>
    <mergeCell ref="A8:N8"/>
    <mergeCell ref="A19:C19"/>
    <mergeCell ref="D19:G19"/>
    <mergeCell ref="D20:F20"/>
    <mergeCell ref="D21:F21"/>
    <mergeCell ref="D22:F22"/>
    <mergeCell ref="D23:F23"/>
    <mergeCell ref="D24:F24"/>
    <mergeCell ref="D25:F25"/>
    <mergeCell ref="D26:F26"/>
    <mergeCell ref="B33:G33"/>
    <mergeCell ref="B34:G34"/>
    <mergeCell ref="D27:F27"/>
    <mergeCell ref="A29:G29"/>
    <mergeCell ref="B30:G30"/>
    <mergeCell ref="B31:G31"/>
    <mergeCell ref="B32:G32"/>
  </mergeCells>
  <conditionalFormatting sqref="H10:H17">
    <cfRule type="dataBar" priority="6">
      <dataBar>
        <cfvo type="min"/>
        <cfvo type="max"/>
        <color rgb="FF2563EB"/>
      </dataBar>
    </cfRule>
    <cfRule type="dataBar" priority="1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{4A9462A3-6462-E0A8-DF54-549054C8F42E}</x14:id>
        </ext>
      </extLst>
    </cfRule>
  </conditionalFormatting>
  <conditionalFormatting sqref="I10:I17">
    <cfRule type="cellIs" dxfId="80" priority="7" operator="greaterThan">
      <formula>0</formula>
    </cfRule>
  </conditionalFormatting>
  <conditionalFormatting sqref="K5:N6">
    <cfRule type="expression" dxfId="79" priority="8">
      <formula>$I$5&gt;0</formula>
    </cfRule>
    <cfRule type="expression" dxfId="78" priority="9">
      <formula>AND($I$5=0,$G$5&gt;0)</formula>
    </cfRule>
    <cfRule type="expression" dxfId="77" priority="10">
      <formula>AND($I$5=0,$G$5=0,$C$5&gt;=0.95)</formula>
    </cfRule>
  </conditionalFormatting>
  <pageMargins left="0.7" right="0.7" top="0.75" bottom="0.75" header="0.3" footer="0.3"/>
  <ignoredErrors>
    <ignoredError sqref="G5" formula="1"/>
  </ignoredErrors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9462A3-6462-E0A8-DF54-549054C8F42E}">
            <x14:dataBar>
              <x14:cfvo type="min"/>
              <x14:cfvo type="max"/>
              <x14:negativeFillColor auto="1"/>
              <x14:axisColor auto="1"/>
            </x14:dataBar>
          </x14:cfRule>
          <xm:sqref>H10:H17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9"/>
  <sheetViews>
    <sheetView showGridLines="0" workbookViewId="0"/>
  </sheetViews>
  <sheetFormatPr baseColWidth="10" defaultColWidth="9.140625" defaultRowHeight="15" x14ac:dyDescent="0.25"/>
  <cols>
    <col min="1" max="1" width="3" customWidth="1"/>
    <col min="2" max="2" width="7" customWidth="1"/>
    <col min="3" max="3" width="46" customWidth="1"/>
    <col min="4" max="4" width="18" customWidth="1"/>
    <col min="5" max="5" width="13" customWidth="1"/>
    <col min="6" max="6" width="17" customWidth="1"/>
    <col min="7" max="7" width="34" customWidth="1"/>
    <col min="8" max="8" width="18" customWidth="1"/>
  </cols>
  <sheetData>
    <row r="1" spans="2:8" ht="6" customHeight="1" x14ac:dyDescent="0.25"/>
    <row r="2" spans="2:8" ht="27.95" customHeight="1" x14ac:dyDescent="0.25">
      <c r="B2" s="52" t="s">
        <v>19</v>
      </c>
      <c r="C2" s="53"/>
      <c r="D2" s="53"/>
      <c r="E2" s="53"/>
      <c r="F2" s="53"/>
      <c r="G2" s="53"/>
      <c r="H2" s="53"/>
    </row>
    <row r="3" spans="2:8" ht="6" customHeight="1" x14ac:dyDescent="0.25">
      <c r="H3">
        <f>COUNTIF(F6:F500,"✓ CUMPLE")</f>
        <v>0</v>
      </c>
    </row>
    <row r="4" spans="2:8" ht="15.95" customHeight="1" x14ac:dyDescent="0.25">
      <c r="B4" s="47" t="s">
        <v>52</v>
      </c>
      <c r="C4" s="48"/>
      <c r="D4" s="48"/>
      <c r="E4" s="48"/>
      <c r="F4" s="48"/>
      <c r="G4" s="48"/>
      <c r="H4" s="48"/>
    </row>
    <row r="5" spans="2:8" ht="33.950000000000003" customHeight="1" x14ac:dyDescent="0.25"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3" t="s">
        <v>59</v>
      </c>
    </row>
    <row r="6" spans="2:8" ht="20.100000000000001" customHeight="1" x14ac:dyDescent="0.25">
      <c r="B6" s="44" t="s">
        <v>60</v>
      </c>
      <c r="C6" s="46"/>
      <c r="D6" s="46"/>
      <c r="E6" s="46"/>
      <c r="F6" s="46"/>
      <c r="G6" s="46"/>
      <c r="H6" s="46"/>
    </row>
    <row r="7" spans="2:8" ht="32.1" customHeight="1" x14ac:dyDescent="0.25">
      <c r="B7" s="4">
        <v>1</v>
      </c>
      <c r="C7" s="5" t="s">
        <v>61</v>
      </c>
      <c r="D7" s="6" t="s">
        <v>62</v>
      </c>
      <c r="E7" s="7" t="s">
        <v>63</v>
      </c>
      <c r="F7" s="8" t="s">
        <v>40</v>
      </c>
      <c r="G7" s="9" t="s">
        <v>64</v>
      </c>
      <c r="H7" s="10" t="s">
        <v>65</v>
      </c>
    </row>
    <row r="8" spans="2:8" ht="32.1" customHeight="1" x14ac:dyDescent="0.25">
      <c r="B8" s="11">
        <v>2</v>
      </c>
      <c r="C8" s="12" t="s">
        <v>66</v>
      </c>
      <c r="D8" s="13" t="s">
        <v>67</v>
      </c>
      <c r="E8" s="7" t="s">
        <v>63</v>
      </c>
      <c r="F8" s="8" t="s">
        <v>40</v>
      </c>
      <c r="G8" s="14" t="s">
        <v>64</v>
      </c>
      <c r="H8" s="15" t="s">
        <v>65</v>
      </c>
    </row>
    <row r="9" spans="2:8" ht="32.1" customHeight="1" x14ac:dyDescent="0.25">
      <c r="B9" s="4">
        <v>3</v>
      </c>
      <c r="C9" s="5" t="s">
        <v>68</v>
      </c>
      <c r="D9" s="6" t="s">
        <v>67</v>
      </c>
      <c r="E9" s="7" t="s">
        <v>63</v>
      </c>
      <c r="F9" s="8" t="s">
        <v>40</v>
      </c>
      <c r="G9" s="9" t="s">
        <v>64</v>
      </c>
      <c r="H9" s="10" t="s">
        <v>69</v>
      </c>
    </row>
    <row r="10" spans="2:8" ht="32.1" customHeight="1" x14ac:dyDescent="0.25">
      <c r="B10" s="11">
        <v>4</v>
      </c>
      <c r="C10" s="12" t="s">
        <v>70</v>
      </c>
      <c r="D10" s="13" t="s">
        <v>71</v>
      </c>
      <c r="E10" s="7" t="s">
        <v>63</v>
      </c>
      <c r="F10" s="8" t="s">
        <v>40</v>
      </c>
      <c r="G10" s="14" t="s">
        <v>64</v>
      </c>
      <c r="H10" s="15" t="s">
        <v>69</v>
      </c>
    </row>
    <row r="11" spans="2:8" ht="32.1" customHeight="1" x14ac:dyDescent="0.25">
      <c r="B11" s="4">
        <v>5</v>
      </c>
      <c r="C11" s="5" t="s">
        <v>72</v>
      </c>
      <c r="D11" s="6" t="s">
        <v>62</v>
      </c>
      <c r="E11" s="7" t="s">
        <v>63</v>
      </c>
      <c r="F11" s="8" t="s">
        <v>40</v>
      </c>
      <c r="G11" s="9" t="s">
        <v>64</v>
      </c>
      <c r="H11" s="10" t="s">
        <v>73</v>
      </c>
    </row>
    <row r="12" spans="2:8" ht="32.1" customHeight="1" x14ac:dyDescent="0.25">
      <c r="B12" s="11">
        <v>6</v>
      </c>
      <c r="C12" s="12" t="s">
        <v>74</v>
      </c>
      <c r="D12" s="13" t="s">
        <v>67</v>
      </c>
      <c r="E12" s="7" t="s">
        <v>63</v>
      </c>
      <c r="F12" s="8" t="s">
        <v>40</v>
      </c>
      <c r="G12" s="14" t="s">
        <v>64</v>
      </c>
      <c r="H12" s="15" t="s">
        <v>65</v>
      </c>
    </row>
    <row r="13" spans="2:8" ht="32.1" customHeight="1" x14ac:dyDescent="0.25">
      <c r="B13" s="4">
        <v>7</v>
      </c>
      <c r="C13" s="5" t="s">
        <v>75</v>
      </c>
      <c r="D13" s="6" t="s">
        <v>71</v>
      </c>
      <c r="E13" s="16" t="s">
        <v>76</v>
      </c>
      <c r="F13" s="8" t="s">
        <v>40</v>
      </c>
      <c r="G13" s="9" t="s">
        <v>64</v>
      </c>
      <c r="H13" s="10" t="s">
        <v>77</v>
      </c>
    </row>
    <row r="14" spans="2:8" x14ac:dyDescent="0.25">
      <c r="B14" s="20"/>
      <c r="C14" s="21"/>
      <c r="D14" s="20"/>
      <c r="E14" s="20"/>
      <c r="F14" s="20"/>
      <c r="G14" s="21"/>
      <c r="H14" s="20"/>
    </row>
    <row r="15" spans="2:8" ht="20.100000000000001" customHeight="1" x14ac:dyDescent="0.25">
      <c r="B15" s="49" t="s">
        <v>78</v>
      </c>
      <c r="C15" s="50"/>
      <c r="D15" s="51"/>
      <c r="E15" s="51"/>
      <c r="F15" s="51"/>
      <c r="G15" s="50"/>
      <c r="H15" s="51"/>
    </row>
    <row r="16" spans="2:8" ht="32.1" customHeight="1" x14ac:dyDescent="0.25">
      <c r="B16" s="4">
        <v>8</v>
      </c>
      <c r="C16" s="5" t="s">
        <v>79</v>
      </c>
      <c r="D16" s="6" t="s">
        <v>62</v>
      </c>
      <c r="E16" s="7" t="s">
        <v>63</v>
      </c>
      <c r="F16" s="8" t="s">
        <v>40</v>
      </c>
      <c r="G16" s="9" t="s">
        <v>64</v>
      </c>
      <c r="H16" s="10" t="s">
        <v>80</v>
      </c>
    </row>
    <row r="17" spans="2:8" ht="32.1" customHeight="1" x14ac:dyDescent="0.25">
      <c r="B17" s="11">
        <v>9</v>
      </c>
      <c r="C17" s="12" t="s">
        <v>81</v>
      </c>
      <c r="D17" s="13" t="s">
        <v>67</v>
      </c>
      <c r="E17" s="7" t="s">
        <v>63</v>
      </c>
      <c r="F17" s="8" t="s">
        <v>40</v>
      </c>
      <c r="G17" s="14" t="s">
        <v>64</v>
      </c>
      <c r="H17" s="15" t="s">
        <v>80</v>
      </c>
    </row>
    <row r="18" spans="2:8" ht="32.1" customHeight="1" x14ac:dyDescent="0.25">
      <c r="B18" s="4">
        <v>10</v>
      </c>
      <c r="C18" s="5" t="s">
        <v>82</v>
      </c>
      <c r="D18" s="6" t="s">
        <v>67</v>
      </c>
      <c r="E18" s="7" t="s">
        <v>63</v>
      </c>
      <c r="F18" s="8" t="s">
        <v>40</v>
      </c>
      <c r="G18" s="9" t="s">
        <v>64</v>
      </c>
      <c r="H18" s="10" t="s">
        <v>80</v>
      </c>
    </row>
    <row r="19" spans="2:8" ht="32.1" customHeight="1" x14ac:dyDescent="0.25">
      <c r="B19" s="11">
        <v>11</v>
      </c>
      <c r="C19" s="12" t="s">
        <v>83</v>
      </c>
      <c r="D19" s="13" t="s">
        <v>71</v>
      </c>
      <c r="E19" s="7" t="s">
        <v>63</v>
      </c>
      <c r="F19" s="8" t="s">
        <v>40</v>
      </c>
      <c r="G19" s="14" t="s">
        <v>64</v>
      </c>
      <c r="H19" s="15" t="s">
        <v>65</v>
      </c>
    </row>
    <row r="20" spans="2:8" ht="32.1" customHeight="1" x14ac:dyDescent="0.25">
      <c r="B20" s="4">
        <v>12</v>
      </c>
      <c r="C20" s="5" t="s">
        <v>84</v>
      </c>
      <c r="D20" s="6" t="s">
        <v>62</v>
      </c>
      <c r="E20" s="7" t="s">
        <v>63</v>
      </c>
      <c r="F20" s="8" t="s">
        <v>40</v>
      </c>
      <c r="G20" s="9" t="s">
        <v>64</v>
      </c>
      <c r="H20" s="10" t="s">
        <v>80</v>
      </c>
    </row>
    <row r="21" spans="2:8" ht="32.1" customHeight="1" x14ac:dyDescent="0.25">
      <c r="B21" s="11">
        <v>13</v>
      </c>
      <c r="C21" s="12" t="s">
        <v>85</v>
      </c>
      <c r="D21" s="13" t="s">
        <v>71</v>
      </c>
      <c r="E21" s="16" t="s">
        <v>76</v>
      </c>
      <c r="F21" s="8" t="s">
        <v>40</v>
      </c>
      <c r="G21" s="14" t="s">
        <v>64</v>
      </c>
      <c r="H21" s="15" t="s">
        <v>86</v>
      </c>
    </row>
    <row r="22" spans="2:8" ht="32.1" customHeight="1" x14ac:dyDescent="0.25">
      <c r="B22" s="4">
        <v>14</v>
      </c>
      <c r="C22" s="5" t="s">
        <v>87</v>
      </c>
      <c r="D22" s="6" t="s">
        <v>62</v>
      </c>
      <c r="E22" s="7" t="s">
        <v>63</v>
      </c>
      <c r="F22" s="8" t="s">
        <v>40</v>
      </c>
      <c r="G22" s="9" t="s">
        <v>64</v>
      </c>
      <c r="H22" s="10" t="s">
        <v>86</v>
      </c>
    </row>
    <row r="23" spans="2:8" x14ac:dyDescent="0.25">
      <c r="B23" s="20"/>
      <c r="C23" s="21"/>
      <c r="D23" s="20"/>
      <c r="E23" s="20"/>
      <c r="F23" s="20"/>
      <c r="G23" s="21"/>
      <c r="H23" s="20"/>
    </row>
    <row r="24" spans="2:8" ht="20.100000000000001" customHeight="1" x14ac:dyDescent="0.25">
      <c r="B24" s="49" t="s">
        <v>88</v>
      </c>
      <c r="C24" s="50"/>
      <c r="D24" s="51"/>
      <c r="E24" s="51"/>
      <c r="F24" s="51"/>
      <c r="G24" s="50"/>
      <c r="H24" s="51"/>
    </row>
    <row r="25" spans="2:8" ht="32.1" customHeight="1" x14ac:dyDescent="0.25">
      <c r="B25" s="4">
        <v>15</v>
      </c>
      <c r="C25" s="5" t="s">
        <v>89</v>
      </c>
      <c r="D25" s="6" t="s">
        <v>62</v>
      </c>
      <c r="E25" s="7" t="s">
        <v>63</v>
      </c>
      <c r="F25" s="8" t="s">
        <v>40</v>
      </c>
      <c r="G25" s="9" t="s">
        <v>64</v>
      </c>
      <c r="H25" s="10" t="s">
        <v>90</v>
      </c>
    </row>
    <row r="26" spans="2:8" ht="32.1" customHeight="1" x14ac:dyDescent="0.25">
      <c r="B26" s="11">
        <v>16</v>
      </c>
      <c r="C26" s="12" t="s">
        <v>91</v>
      </c>
      <c r="D26" s="13" t="s">
        <v>62</v>
      </c>
      <c r="E26" s="7" t="s">
        <v>63</v>
      </c>
      <c r="F26" s="8" t="s">
        <v>40</v>
      </c>
      <c r="G26" s="14" t="s">
        <v>64</v>
      </c>
      <c r="H26" s="15" t="s">
        <v>92</v>
      </c>
    </row>
    <row r="27" spans="2:8" ht="32.1" customHeight="1" x14ac:dyDescent="0.25">
      <c r="B27" s="22">
        <v>17</v>
      </c>
      <c r="C27" s="23" t="s">
        <v>93</v>
      </c>
      <c r="D27" s="24" t="s">
        <v>62</v>
      </c>
      <c r="E27" s="22" t="s">
        <v>63</v>
      </c>
      <c r="F27" s="25" t="s">
        <v>40</v>
      </c>
      <c r="G27" s="26" t="s">
        <v>64</v>
      </c>
      <c r="H27" s="27" t="s">
        <v>92</v>
      </c>
    </row>
    <row r="28" spans="2:8" ht="32.1" customHeight="1" x14ac:dyDescent="0.25">
      <c r="B28" s="11">
        <v>18</v>
      </c>
      <c r="C28" s="12" t="s">
        <v>94</v>
      </c>
      <c r="D28" s="13" t="s">
        <v>62</v>
      </c>
      <c r="E28" s="7" t="s">
        <v>63</v>
      </c>
      <c r="F28" s="8" t="s">
        <v>40</v>
      </c>
      <c r="G28" s="14" t="s">
        <v>64</v>
      </c>
      <c r="H28" s="15" t="s">
        <v>95</v>
      </c>
    </row>
    <row r="29" spans="2:8" ht="32.1" customHeight="1" x14ac:dyDescent="0.25">
      <c r="B29" s="4">
        <v>19</v>
      </c>
      <c r="C29" s="5" t="s">
        <v>96</v>
      </c>
      <c r="D29" s="6" t="s">
        <v>67</v>
      </c>
      <c r="E29" s="16" t="s">
        <v>76</v>
      </c>
      <c r="F29" s="8" t="s">
        <v>40</v>
      </c>
      <c r="G29" s="9" t="s">
        <v>64</v>
      </c>
      <c r="H29" s="10" t="s">
        <v>90</v>
      </c>
    </row>
    <row r="30" spans="2:8" ht="32.1" customHeight="1" x14ac:dyDescent="0.25">
      <c r="B30" s="11">
        <v>20</v>
      </c>
      <c r="C30" s="12" t="s">
        <v>97</v>
      </c>
      <c r="D30" s="13" t="s">
        <v>67</v>
      </c>
      <c r="E30" s="16" t="s">
        <v>76</v>
      </c>
      <c r="F30" s="8" t="s">
        <v>40</v>
      </c>
      <c r="G30" s="14" t="s">
        <v>64</v>
      </c>
      <c r="H30" s="15" t="s">
        <v>90</v>
      </c>
    </row>
    <row r="31" spans="2:8" ht="32.1" customHeight="1" x14ac:dyDescent="0.25">
      <c r="B31" s="4">
        <v>21</v>
      </c>
      <c r="C31" s="5" t="s">
        <v>98</v>
      </c>
      <c r="D31" s="6" t="s">
        <v>71</v>
      </c>
      <c r="E31" s="19" t="s">
        <v>99</v>
      </c>
      <c r="F31" s="8" t="s">
        <v>40</v>
      </c>
      <c r="G31" s="9" t="s">
        <v>64</v>
      </c>
      <c r="H31" s="10" t="s">
        <v>90</v>
      </c>
    </row>
    <row r="32" spans="2:8" x14ac:dyDescent="0.25">
      <c r="B32" s="17"/>
      <c r="C32" s="18"/>
      <c r="D32" s="17"/>
      <c r="E32" s="17"/>
      <c r="F32" s="17"/>
      <c r="G32" s="18"/>
      <c r="H32" s="17"/>
    </row>
    <row r="33" spans="2:8" ht="20.100000000000001" customHeight="1" x14ac:dyDescent="0.25">
      <c r="B33" s="44" t="s">
        <v>100</v>
      </c>
      <c r="C33" s="45"/>
      <c r="D33" s="46"/>
      <c r="E33" s="46"/>
      <c r="F33" s="46"/>
      <c r="G33" s="45"/>
      <c r="H33" s="46"/>
    </row>
    <row r="34" spans="2:8" ht="32.1" customHeight="1" x14ac:dyDescent="0.25">
      <c r="B34" s="4">
        <v>22</v>
      </c>
      <c r="C34" s="5" t="s">
        <v>101</v>
      </c>
      <c r="D34" s="6" t="s">
        <v>62</v>
      </c>
      <c r="E34" s="7" t="s">
        <v>63</v>
      </c>
      <c r="F34" s="8" t="s">
        <v>40</v>
      </c>
      <c r="G34" s="9" t="s">
        <v>64</v>
      </c>
      <c r="H34" s="10" t="s">
        <v>102</v>
      </c>
    </row>
    <row r="35" spans="2:8" ht="32.1" customHeight="1" x14ac:dyDescent="0.25">
      <c r="B35" s="11">
        <v>23</v>
      </c>
      <c r="C35" s="12" t="s">
        <v>103</v>
      </c>
      <c r="D35" s="13" t="s">
        <v>62</v>
      </c>
      <c r="E35" s="7" t="s">
        <v>63</v>
      </c>
      <c r="F35" s="8" t="s">
        <v>40</v>
      </c>
      <c r="G35" s="14" t="s">
        <v>64</v>
      </c>
      <c r="H35" s="15" t="s">
        <v>102</v>
      </c>
    </row>
    <row r="36" spans="2:8" ht="32.1" customHeight="1" x14ac:dyDescent="0.25">
      <c r="B36" s="4">
        <v>24</v>
      </c>
      <c r="C36" s="5" t="s">
        <v>104</v>
      </c>
      <c r="D36" s="6" t="s">
        <v>67</v>
      </c>
      <c r="E36" s="7" t="s">
        <v>63</v>
      </c>
      <c r="F36" s="8" t="s">
        <v>40</v>
      </c>
      <c r="G36" s="9" t="s">
        <v>64</v>
      </c>
      <c r="H36" s="10" t="s">
        <v>105</v>
      </c>
    </row>
    <row r="37" spans="2:8" ht="32.1" customHeight="1" x14ac:dyDescent="0.25">
      <c r="B37" s="11">
        <v>25</v>
      </c>
      <c r="C37" s="12" t="s">
        <v>106</v>
      </c>
      <c r="D37" s="13" t="s">
        <v>71</v>
      </c>
      <c r="E37" s="16" t="s">
        <v>76</v>
      </c>
      <c r="F37" s="8" t="s">
        <v>40</v>
      </c>
      <c r="G37" s="14" t="s">
        <v>64</v>
      </c>
      <c r="H37" s="15" t="s">
        <v>107</v>
      </c>
    </row>
    <row r="38" spans="2:8" ht="32.1" customHeight="1" x14ac:dyDescent="0.25">
      <c r="B38" s="4">
        <v>26</v>
      </c>
      <c r="C38" s="5" t="s">
        <v>108</v>
      </c>
      <c r="D38" s="6" t="s">
        <v>62</v>
      </c>
      <c r="E38" s="16" t="s">
        <v>76</v>
      </c>
      <c r="F38" s="8" t="s">
        <v>40</v>
      </c>
      <c r="G38" s="9" t="s">
        <v>64</v>
      </c>
      <c r="H38" s="10" t="s">
        <v>109</v>
      </c>
    </row>
    <row r="39" spans="2:8" ht="32.1" customHeight="1" x14ac:dyDescent="0.25">
      <c r="B39" s="11">
        <v>27</v>
      </c>
      <c r="C39" s="12" t="s">
        <v>110</v>
      </c>
      <c r="D39" s="13" t="s">
        <v>67</v>
      </c>
      <c r="E39" s="16" t="s">
        <v>76</v>
      </c>
      <c r="F39" s="8" t="s">
        <v>40</v>
      </c>
      <c r="G39" s="14" t="s">
        <v>64</v>
      </c>
      <c r="H39" s="15" t="s">
        <v>111</v>
      </c>
    </row>
  </sheetData>
  <mergeCells count="6">
    <mergeCell ref="B33:H33"/>
    <mergeCell ref="B4:H4"/>
    <mergeCell ref="B6:H6"/>
    <mergeCell ref="B24:H24"/>
    <mergeCell ref="B2:H2"/>
    <mergeCell ref="B15:H15"/>
  </mergeCells>
  <conditionalFormatting sqref="E7:E39">
    <cfRule type="expression" dxfId="76" priority="8">
      <formula>E7="CRÍTICO"</formula>
    </cfRule>
    <cfRule type="expression" dxfId="75" priority="9">
      <formula>E7="ALTO"</formula>
    </cfRule>
    <cfRule type="expression" dxfId="74" priority="10">
      <formula>E7="MEDIO"</formula>
    </cfRule>
    <cfRule type="expression" dxfId="73" priority="11">
      <formula>E7="BAJO"</formula>
    </cfRule>
  </conditionalFormatting>
  <conditionalFormatting sqref="F6:F41">
    <cfRule type="expression" dxfId="72" priority="1">
      <formula>NOT(ISERROR(SEARCH("CUMPLE",F6)))</formula>
    </cfRule>
    <cfRule type="expression" dxfId="71" priority="2">
      <formula>NOT(ISERROR(SEARCH("NO CUMPLE",F6)))</formula>
    </cfRule>
    <cfRule type="expression" dxfId="70" priority="3">
      <formula>NOT(ISERROR(SEARCH("PENDIENTE",F6)))</formula>
    </cfRule>
  </conditionalFormatting>
  <conditionalFormatting sqref="F7:F39">
    <cfRule type="expression" dxfId="69" priority="4">
      <formula>F7="✓ CUMPLE"</formula>
    </cfRule>
    <cfRule type="expression" dxfId="68" priority="5">
      <formula>F7="⚠ PENDIENTE"</formula>
    </cfRule>
    <cfRule type="expression" dxfId="67" priority="6">
      <formula>F7="✗ NO CUMPLE"</formula>
    </cfRule>
    <cfRule type="expression" dxfId="66" priority="7">
      <formula>F7="N/A"</formula>
    </cfRule>
  </conditionalFormatting>
  <dataValidations count="4">
    <dataValidation type="list" allowBlank="1" sqref="F7 F8 F9 F10 F11 F12 F13 F16 F17 F18 F19 F20 F21 F22 F25 F26 F27 F28 F29 F30 F31 F34 F35 F36 F37 F38 F39" xr:uid="{00000000-0002-0000-0100-000000000000}">
      <formula1>"✓ CUMPLE,⚠ PENDIENTE,✗ NO CUMPLE,N/A"</formula1>
    </dataValidation>
    <dataValidation type="list" sqref="D7:D39" xr:uid="{00000000-0002-0000-0100-000001000000}">
      <formula1>"Jefe Propuesta,Analista 1,Analista 2,Administración,Legal,Finanzas"</formula1>
    </dataValidation>
    <dataValidation type="list" sqref="E7:E39" xr:uid="{00000000-0002-0000-0100-000002000000}">
      <formula1>"CRÍTICO,ALTO,MEDIO,BAJO"</formula1>
    </dataValidation>
    <dataValidation type="list" sqref="F7:F39" xr:uid="{00000000-0002-0000-0100-000003000000}">
      <formula1>"✓ CUMPLE,⚠ PENDIENTE,✗ NO CUMPLE,N/A"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showGridLines="0" workbookViewId="0">
      <selection activeCell="D7" sqref="D7"/>
    </sheetView>
  </sheetViews>
  <sheetFormatPr baseColWidth="10" defaultColWidth="9.140625" defaultRowHeight="15" x14ac:dyDescent="0.25"/>
  <cols>
    <col min="1" max="1" width="3" customWidth="1"/>
    <col min="2" max="2" width="7" customWidth="1"/>
    <col min="3" max="3" width="46" customWidth="1"/>
    <col min="4" max="4" width="18" customWidth="1"/>
    <col min="5" max="5" width="13" customWidth="1"/>
    <col min="6" max="6" width="17" customWidth="1"/>
    <col min="7" max="7" width="34" customWidth="1"/>
    <col min="8" max="8" width="18" customWidth="1"/>
  </cols>
  <sheetData>
    <row r="1" spans="1:8" ht="6" customHeight="1" x14ac:dyDescent="0.25">
      <c r="A1">
        <v>3</v>
      </c>
    </row>
    <row r="2" spans="1:8" ht="27.95" customHeight="1" x14ac:dyDescent="0.25">
      <c r="B2" s="52" t="s">
        <v>21</v>
      </c>
      <c r="C2" s="53"/>
      <c r="D2" s="53"/>
      <c r="E2" s="53"/>
      <c r="F2" s="53"/>
      <c r="G2" s="53"/>
      <c r="H2" s="53"/>
    </row>
    <row r="3" spans="1:8" ht="6" customHeight="1" x14ac:dyDescent="0.25">
      <c r="H3">
        <f>COUNTIF(F6:F500,"✓ CUMPLE")</f>
        <v>0</v>
      </c>
    </row>
    <row r="4" spans="1:8" ht="15.95" customHeight="1" x14ac:dyDescent="0.25">
      <c r="B4" s="47" t="s">
        <v>52</v>
      </c>
      <c r="C4" s="48"/>
      <c r="D4" s="48"/>
      <c r="E4" s="48"/>
      <c r="F4" s="48"/>
      <c r="G4" s="48"/>
      <c r="H4" s="48"/>
    </row>
    <row r="5" spans="1:8" ht="33.950000000000003" customHeight="1" x14ac:dyDescent="0.25"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3" t="s">
        <v>59</v>
      </c>
    </row>
    <row r="6" spans="1:8" ht="20.100000000000001" customHeight="1" x14ac:dyDescent="0.25">
      <c r="B6" s="44" t="s">
        <v>112</v>
      </c>
      <c r="C6" s="46"/>
      <c r="D6" s="46"/>
      <c r="E6" s="46"/>
      <c r="F6" s="46"/>
      <c r="G6" s="46"/>
      <c r="H6" s="46"/>
    </row>
    <row r="7" spans="1:8" ht="32.1" customHeight="1" x14ac:dyDescent="0.25">
      <c r="B7" s="4">
        <v>1</v>
      </c>
      <c r="C7" s="5" t="s">
        <v>113</v>
      </c>
      <c r="D7" s="6" t="s">
        <v>62</v>
      </c>
      <c r="E7" s="7" t="s">
        <v>63</v>
      </c>
      <c r="F7" s="8" t="s">
        <v>40</v>
      </c>
      <c r="G7" s="9" t="s">
        <v>64</v>
      </c>
      <c r="H7" s="10" t="s">
        <v>80</v>
      </c>
    </row>
    <row r="8" spans="1:8" ht="32.1" customHeight="1" x14ac:dyDescent="0.25">
      <c r="B8" s="11">
        <v>2</v>
      </c>
      <c r="C8" s="12" t="s">
        <v>114</v>
      </c>
      <c r="D8" s="13" t="s">
        <v>67</v>
      </c>
      <c r="E8" s="7" t="s">
        <v>63</v>
      </c>
      <c r="F8" s="8" t="s">
        <v>40</v>
      </c>
      <c r="G8" s="14" t="s">
        <v>64</v>
      </c>
      <c r="H8" s="15" t="s">
        <v>80</v>
      </c>
    </row>
    <row r="9" spans="1:8" ht="32.1" customHeight="1" x14ac:dyDescent="0.25">
      <c r="B9" s="4">
        <v>3</v>
      </c>
      <c r="C9" s="5" t="s">
        <v>115</v>
      </c>
      <c r="D9" s="6" t="s">
        <v>67</v>
      </c>
      <c r="E9" s="7" t="s">
        <v>63</v>
      </c>
      <c r="F9" s="8" t="s">
        <v>40</v>
      </c>
      <c r="G9" s="9" t="s">
        <v>64</v>
      </c>
      <c r="H9" s="10" t="s">
        <v>90</v>
      </c>
    </row>
    <row r="10" spans="1:8" ht="32.1" customHeight="1" x14ac:dyDescent="0.25">
      <c r="B10" s="11">
        <v>4</v>
      </c>
      <c r="C10" s="12" t="s">
        <v>116</v>
      </c>
      <c r="D10" s="13" t="s">
        <v>71</v>
      </c>
      <c r="E10" s="16" t="s">
        <v>76</v>
      </c>
      <c r="F10" s="8" t="s">
        <v>40</v>
      </c>
      <c r="G10" s="14" t="s">
        <v>64</v>
      </c>
      <c r="H10" s="15" t="s">
        <v>117</v>
      </c>
    </row>
    <row r="11" spans="1:8" ht="32.1" customHeight="1" x14ac:dyDescent="0.25">
      <c r="B11" s="4">
        <v>5</v>
      </c>
      <c r="C11" s="5" t="s">
        <v>118</v>
      </c>
      <c r="D11" s="6" t="s">
        <v>67</v>
      </c>
      <c r="E11" s="7" t="s">
        <v>63</v>
      </c>
      <c r="F11" s="8" t="s">
        <v>40</v>
      </c>
      <c r="G11" s="9" t="s">
        <v>64</v>
      </c>
      <c r="H11" s="10" t="s">
        <v>80</v>
      </c>
    </row>
    <row r="12" spans="1:8" ht="32.1" customHeight="1" x14ac:dyDescent="0.25">
      <c r="B12" s="11">
        <v>6</v>
      </c>
      <c r="C12" s="12" t="s">
        <v>119</v>
      </c>
      <c r="D12" s="13" t="s">
        <v>62</v>
      </c>
      <c r="E12" s="7" t="s">
        <v>63</v>
      </c>
      <c r="F12" s="8" t="s">
        <v>40</v>
      </c>
      <c r="G12" s="14" t="s">
        <v>64</v>
      </c>
      <c r="H12" s="15" t="s">
        <v>65</v>
      </c>
    </row>
    <row r="13" spans="1:8" ht="32.1" customHeight="1" x14ac:dyDescent="0.25">
      <c r="B13" s="4">
        <v>7</v>
      </c>
      <c r="C13" s="5" t="s">
        <v>120</v>
      </c>
      <c r="D13" s="6" t="s">
        <v>62</v>
      </c>
      <c r="E13" s="7" t="s">
        <v>63</v>
      </c>
      <c r="F13" s="8" t="s">
        <v>40</v>
      </c>
      <c r="G13" s="9" t="s">
        <v>64</v>
      </c>
      <c r="H13" s="10" t="s">
        <v>90</v>
      </c>
    </row>
    <row r="14" spans="1:8" ht="32.1" customHeight="1" x14ac:dyDescent="0.25">
      <c r="B14" s="22">
        <v>8</v>
      </c>
      <c r="C14" s="23" t="s">
        <v>121</v>
      </c>
      <c r="D14" s="24" t="s">
        <v>67</v>
      </c>
      <c r="E14" s="22" t="s">
        <v>76</v>
      </c>
      <c r="F14" s="25" t="s">
        <v>40</v>
      </c>
      <c r="G14" s="26" t="s">
        <v>64</v>
      </c>
      <c r="H14" s="27" t="s">
        <v>122</v>
      </c>
    </row>
    <row r="15" spans="1:8" x14ac:dyDescent="0.25">
      <c r="B15" s="17"/>
      <c r="C15" s="18"/>
      <c r="D15" s="17"/>
      <c r="E15" s="17"/>
      <c r="F15" s="17"/>
      <c r="G15" s="18"/>
      <c r="H15" s="17"/>
    </row>
    <row r="16" spans="1:8" ht="20.100000000000001" customHeight="1" x14ac:dyDescent="0.25">
      <c r="B16" s="49" t="s">
        <v>123</v>
      </c>
      <c r="C16" s="50"/>
      <c r="D16" s="51"/>
      <c r="E16" s="51"/>
      <c r="F16" s="51"/>
      <c r="G16" s="50"/>
      <c r="H16" s="51"/>
    </row>
    <row r="17" spans="2:8" ht="32.1" customHeight="1" x14ac:dyDescent="0.25">
      <c r="B17" s="4">
        <v>9</v>
      </c>
      <c r="C17" s="5" t="s">
        <v>124</v>
      </c>
      <c r="D17" s="6" t="s">
        <v>67</v>
      </c>
      <c r="E17" s="7" t="s">
        <v>63</v>
      </c>
      <c r="F17" s="8" t="s">
        <v>40</v>
      </c>
      <c r="G17" s="9" t="s">
        <v>64</v>
      </c>
      <c r="H17" s="10" t="s">
        <v>80</v>
      </c>
    </row>
    <row r="18" spans="2:8" ht="32.1" customHeight="1" x14ac:dyDescent="0.25">
      <c r="B18" s="11">
        <v>10</v>
      </c>
      <c r="C18" s="12" t="s">
        <v>125</v>
      </c>
      <c r="D18" s="13" t="s">
        <v>67</v>
      </c>
      <c r="E18" s="7" t="s">
        <v>63</v>
      </c>
      <c r="F18" s="8" t="s">
        <v>40</v>
      </c>
      <c r="G18" s="14" t="s">
        <v>64</v>
      </c>
      <c r="H18" s="15" t="s">
        <v>80</v>
      </c>
    </row>
    <row r="19" spans="2:8" ht="32.1" customHeight="1" x14ac:dyDescent="0.25">
      <c r="B19" s="4">
        <v>11</v>
      </c>
      <c r="C19" s="5" t="s">
        <v>126</v>
      </c>
      <c r="D19" s="6" t="s">
        <v>67</v>
      </c>
      <c r="E19" s="7" t="s">
        <v>63</v>
      </c>
      <c r="F19" s="8" t="s">
        <v>40</v>
      </c>
      <c r="G19" s="9" t="s">
        <v>64</v>
      </c>
      <c r="H19" s="10" t="s">
        <v>80</v>
      </c>
    </row>
    <row r="20" spans="2:8" ht="32.1" customHeight="1" x14ac:dyDescent="0.25">
      <c r="B20" s="11">
        <v>12</v>
      </c>
      <c r="C20" s="12" t="s">
        <v>127</v>
      </c>
      <c r="D20" s="13" t="s">
        <v>71</v>
      </c>
      <c r="E20" s="7" t="s">
        <v>63</v>
      </c>
      <c r="F20" s="8" t="s">
        <v>40</v>
      </c>
      <c r="G20" s="14" t="s">
        <v>64</v>
      </c>
      <c r="H20" s="15" t="s">
        <v>80</v>
      </c>
    </row>
    <row r="21" spans="2:8" ht="32.1" customHeight="1" x14ac:dyDescent="0.25">
      <c r="B21" s="4">
        <v>13</v>
      </c>
      <c r="C21" s="5" t="s">
        <v>128</v>
      </c>
      <c r="D21" s="6" t="s">
        <v>71</v>
      </c>
      <c r="E21" s="16" t="s">
        <v>76</v>
      </c>
      <c r="F21" s="8" t="s">
        <v>40</v>
      </c>
      <c r="G21" s="9" t="s">
        <v>64</v>
      </c>
      <c r="H21" s="10" t="s">
        <v>90</v>
      </c>
    </row>
    <row r="22" spans="2:8" ht="32.1" customHeight="1" x14ac:dyDescent="0.25">
      <c r="B22" s="11">
        <v>14</v>
      </c>
      <c r="C22" s="12" t="s">
        <v>129</v>
      </c>
      <c r="D22" s="13" t="s">
        <v>71</v>
      </c>
      <c r="E22" s="16" t="s">
        <v>76</v>
      </c>
      <c r="F22" s="8" t="s">
        <v>40</v>
      </c>
      <c r="G22" s="14" t="s">
        <v>64</v>
      </c>
      <c r="H22" s="15" t="s">
        <v>90</v>
      </c>
    </row>
    <row r="23" spans="2:8" ht="32.1" customHeight="1" x14ac:dyDescent="0.25">
      <c r="B23" s="22">
        <v>15</v>
      </c>
      <c r="C23" s="23" t="s">
        <v>130</v>
      </c>
      <c r="D23" s="24" t="s">
        <v>67</v>
      </c>
      <c r="E23" s="22" t="s">
        <v>76</v>
      </c>
      <c r="F23" s="25" t="s">
        <v>40</v>
      </c>
      <c r="G23" s="26" t="s">
        <v>64</v>
      </c>
      <c r="H23" s="27" t="s">
        <v>117</v>
      </c>
    </row>
    <row r="24" spans="2:8" x14ac:dyDescent="0.25">
      <c r="B24" s="17"/>
      <c r="C24" s="18"/>
      <c r="D24" s="17"/>
      <c r="E24" s="17"/>
      <c r="F24" s="17"/>
      <c r="G24" s="18"/>
      <c r="H24" s="17"/>
    </row>
    <row r="25" spans="2:8" ht="20.100000000000001" customHeight="1" x14ac:dyDescent="0.25">
      <c r="B25" s="49" t="s">
        <v>131</v>
      </c>
      <c r="C25" s="50"/>
      <c r="D25" s="51"/>
      <c r="E25" s="51"/>
      <c r="F25" s="51"/>
      <c r="G25" s="50"/>
      <c r="H25" s="51"/>
    </row>
    <row r="26" spans="2:8" ht="32.1" customHeight="1" x14ac:dyDescent="0.25">
      <c r="B26" s="4">
        <v>16</v>
      </c>
      <c r="C26" s="5" t="s">
        <v>132</v>
      </c>
      <c r="D26" s="6" t="s">
        <v>71</v>
      </c>
      <c r="E26" s="7" t="s">
        <v>63</v>
      </c>
      <c r="F26" s="8" t="s">
        <v>40</v>
      </c>
      <c r="G26" s="9" t="s">
        <v>64</v>
      </c>
      <c r="H26" s="10" t="s">
        <v>117</v>
      </c>
    </row>
    <row r="27" spans="2:8" ht="32.1" customHeight="1" x14ac:dyDescent="0.25">
      <c r="B27" s="22">
        <v>17</v>
      </c>
      <c r="C27" s="23" t="s">
        <v>133</v>
      </c>
      <c r="D27" s="24" t="s">
        <v>71</v>
      </c>
      <c r="E27" s="22" t="s">
        <v>76</v>
      </c>
      <c r="F27" s="25" t="s">
        <v>40</v>
      </c>
      <c r="G27" s="26" t="s">
        <v>64</v>
      </c>
      <c r="H27" s="27" t="s">
        <v>134</v>
      </c>
    </row>
    <row r="28" spans="2:8" ht="32.1" customHeight="1" x14ac:dyDescent="0.25">
      <c r="B28" s="4">
        <v>18</v>
      </c>
      <c r="C28" s="5" t="s">
        <v>135</v>
      </c>
      <c r="D28" s="6" t="s">
        <v>67</v>
      </c>
      <c r="E28" s="16" t="s">
        <v>76</v>
      </c>
      <c r="F28" s="8" t="s">
        <v>40</v>
      </c>
      <c r="G28" s="9" t="s">
        <v>64</v>
      </c>
      <c r="H28" s="10" t="s">
        <v>134</v>
      </c>
    </row>
    <row r="29" spans="2:8" ht="32.1" customHeight="1" x14ac:dyDescent="0.25">
      <c r="B29" s="11">
        <v>19</v>
      </c>
      <c r="C29" s="12" t="s">
        <v>136</v>
      </c>
      <c r="D29" s="13" t="s">
        <v>67</v>
      </c>
      <c r="E29" s="16" t="s">
        <v>76</v>
      </c>
      <c r="F29" s="8" t="s">
        <v>40</v>
      </c>
      <c r="G29" s="14" t="s">
        <v>64</v>
      </c>
      <c r="H29" s="15" t="s">
        <v>90</v>
      </c>
    </row>
    <row r="30" spans="2:8" ht="32.1" customHeight="1" x14ac:dyDescent="0.25">
      <c r="B30" s="4">
        <v>20</v>
      </c>
      <c r="C30" s="5" t="s">
        <v>137</v>
      </c>
      <c r="D30" s="6" t="s">
        <v>67</v>
      </c>
      <c r="E30" s="16" t="s">
        <v>76</v>
      </c>
      <c r="F30" s="8" t="s">
        <v>40</v>
      </c>
      <c r="G30" s="9" t="s">
        <v>64</v>
      </c>
      <c r="H30" s="10" t="s">
        <v>90</v>
      </c>
    </row>
    <row r="31" spans="2:8" ht="32.1" customHeight="1" x14ac:dyDescent="0.25">
      <c r="B31" s="11">
        <v>21</v>
      </c>
      <c r="C31" s="12" t="s">
        <v>138</v>
      </c>
      <c r="D31" s="13" t="s">
        <v>71</v>
      </c>
      <c r="E31" s="19" t="s">
        <v>99</v>
      </c>
      <c r="F31" s="8" t="s">
        <v>40</v>
      </c>
      <c r="G31" s="14" t="s">
        <v>64</v>
      </c>
      <c r="H31" s="15" t="s">
        <v>139</v>
      </c>
    </row>
    <row r="32" spans="2:8" ht="32.1" customHeight="1" x14ac:dyDescent="0.25">
      <c r="B32" s="4">
        <v>22</v>
      </c>
      <c r="C32" s="5" t="s">
        <v>140</v>
      </c>
      <c r="D32" s="6" t="s">
        <v>71</v>
      </c>
      <c r="E32" s="7" t="s">
        <v>63</v>
      </c>
      <c r="F32" s="8" t="s">
        <v>40</v>
      </c>
      <c r="G32" s="9" t="s">
        <v>64</v>
      </c>
      <c r="H32" s="10" t="s">
        <v>141</v>
      </c>
    </row>
    <row r="33" spans="2:8" x14ac:dyDescent="0.25">
      <c r="B33" s="20"/>
      <c r="C33" s="21"/>
      <c r="D33" s="20"/>
      <c r="E33" s="20"/>
      <c r="F33" s="20"/>
      <c r="G33" s="21"/>
      <c r="H33" s="20"/>
    </row>
    <row r="34" spans="2:8" ht="20.100000000000001" customHeight="1" x14ac:dyDescent="0.25">
      <c r="B34" s="49" t="s">
        <v>142</v>
      </c>
      <c r="C34" s="50"/>
      <c r="D34" s="51"/>
      <c r="E34" s="51"/>
      <c r="F34" s="51"/>
      <c r="G34" s="50"/>
      <c r="H34" s="51"/>
    </row>
    <row r="35" spans="2:8" ht="32.1" customHeight="1" x14ac:dyDescent="0.25">
      <c r="B35" s="4">
        <v>23</v>
      </c>
      <c r="C35" s="5" t="s">
        <v>143</v>
      </c>
      <c r="D35" s="6" t="s">
        <v>67</v>
      </c>
      <c r="E35" s="7" t="s">
        <v>63</v>
      </c>
      <c r="F35" s="8" t="s">
        <v>40</v>
      </c>
      <c r="G35" s="9" t="s">
        <v>64</v>
      </c>
      <c r="H35" s="10" t="s">
        <v>80</v>
      </c>
    </row>
    <row r="36" spans="2:8" ht="32.1" customHeight="1" x14ac:dyDescent="0.25">
      <c r="B36" s="11">
        <v>24</v>
      </c>
      <c r="C36" s="12" t="s">
        <v>144</v>
      </c>
      <c r="D36" s="13" t="s">
        <v>67</v>
      </c>
      <c r="E36" s="7" t="s">
        <v>63</v>
      </c>
      <c r="F36" s="8" t="s">
        <v>40</v>
      </c>
      <c r="G36" s="14" t="s">
        <v>64</v>
      </c>
      <c r="H36" s="15" t="s">
        <v>80</v>
      </c>
    </row>
    <row r="37" spans="2:8" ht="32.1" customHeight="1" x14ac:dyDescent="0.25">
      <c r="B37" s="4">
        <v>25</v>
      </c>
      <c r="C37" s="5" t="s">
        <v>145</v>
      </c>
      <c r="D37" s="6" t="s">
        <v>71</v>
      </c>
      <c r="E37" s="16" t="s">
        <v>76</v>
      </c>
      <c r="F37" s="8" t="s">
        <v>40</v>
      </c>
      <c r="G37" s="9" t="s">
        <v>64</v>
      </c>
      <c r="H37" s="10" t="s">
        <v>117</v>
      </c>
    </row>
    <row r="38" spans="2:8" ht="32.1" customHeight="1" x14ac:dyDescent="0.25">
      <c r="B38" s="11">
        <v>26</v>
      </c>
      <c r="C38" s="12" t="s">
        <v>146</v>
      </c>
      <c r="D38" s="13" t="s">
        <v>71</v>
      </c>
      <c r="E38" s="16" t="s">
        <v>76</v>
      </c>
      <c r="F38" s="8" t="s">
        <v>40</v>
      </c>
      <c r="G38" s="14" t="s">
        <v>64</v>
      </c>
      <c r="H38" s="15" t="s">
        <v>147</v>
      </c>
    </row>
    <row r="39" spans="2:8" ht="32.1" customHeight="1" x14ac:dyDescent="0.25">
      <c r="B39" s="4">
        <v>27</v>
      </c>
      <c r="C39" s="5" t="s">
        <v>148</v>
      </c>
      <c r="D39" s="6" t="s">
        <v>62</v>
      </c>
      <c r="E39" s="16" t="s">
        <v>76</v>
      </c>
      <c r="F39" s="8" t="s">
        <v>40</v>
      </c>
      <c r="G39" s="9" t="s">
        <v>64</v>
      </c>
      <c r="H39" s="10" t="s">
        <v>149</v>
      </c>
    </row>
  </sheetData>
  <mergeCells count="6">
    <mergeCell ref="B34:H34"/>
    <mergeCell ref="B4:H4"/>
    <mergeCell ref="B6:H6"/>
    <mergeCell ref="B16:H16"/>
    <mergeCell ref="B2:H2"/>
    <mergeCell ref="B25:H25"/>
  </mergeCells>
  <conditionalFormatting sqref="E7:E39">
    <cfRule type="expression" dxfId="65" priority="8">
      <formula>E7="CRÍTICO"</formula>
    </cfRule>
    <cfRule type="expression" dxfId="64" priority="9">
      <formula>E7="ALTO"</formula>
    </cfRule>
    <cfRule type="expression" dxfId="63" priority="10">
      <formula>E7="MEDIO"</formula>
    </cfRule>
    <cfRule type="expression" dxfId="62" priority="11">
      <formula>E7="BAJO"</formula>
    </cfRule>
  </conditionalFormatting>
  <conditionalFormatting sqref="F6:F41">
    <cfRule type="expression" dxfId="61" priority="1">
      <formula>NOT(ISERROR(SEARCH("CUMPLE",F6)))</formula>
    </cfRule>
    <cfRule type="expression" dxfId="60" priority="2">
      <formula>NOT(ISERROR(SEARCH("NO CUMPLE",F6)))</formula>
    </cfRule>
    <cfRule type="expression" dxfId="59" priority="3">
      <formula>NOT(ISERROR(SEARCH("PENDIENTE",F6)))</formula>
    </cfRule>
  </conditionalFormatting>
  <conditionalFormatting sqref="F7:F39">
    <cfRule type="expression" dxfId="58" priority="4">
      <formula>F7="✓ CUMPLE"</formula>
    </cfRule>
    <cfRule type="expression" dxfId="57" priority="5">
      <formula>F7="⚠ PENDIENTE"</formula>
    </cfRule>
    <cfRule type="expression" dxfId="56" priority="6">
      <formula>F7="✗ NO CUMPLE"</formula>
    </cfRule>
    <cfRule type="expression" dxfId="55" priority="7">
      <formula>F7="N/A"</formula>
    </cfRule>
  </conditionalFormatting>
  <dataValidations count="4">
    <dataValidation type="list" allowBlank="1" sqref="F7 F8 F9 F10 F11 F12 F13 F14 F17 F18 F19 F20 F21 F22 F23 F26 F27 F28 F29 F30 F31 F32 F35 F36 F37 F38 F39" xr:uid="{00000000-0002-0000-0200-000000000000}">
      <formula1>"✓ CUMPLE,⚠ PENDIENTE,✗ NO CUMPLE,N/A"</formula1>
    </dataValidation>
    <dataValidation type="list" sqref="D7:D39" xr:uid="{00000000-0002-0000-0200-000001000000}">
      <formula1>"Jefe Propuesta,Analista 1,Analista 2,Administración,Legal,Finanzas"</formula1>
    </dataValidation>
    <dataValidation type="list" sqref="E7:E39" xr:uid="{00000000-0002-0000-0200-000002000000}">
      <formula1>"CRÍTICO,ALTO,MEDIO,BAJO"</formula1>
    </dataValidation>
    <dataValidation type="list" sqref="F7:F39" xr:uid="{00000000-0002-0000-0200-000003000000}">
      <formula1>"✓ CUMPLE,⚠ PENDIENTE,✗ NO CUMPLE,N/A"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39"/>
  <sheetViews>
    <sheetView showGridLines="0" workbookViewId="0">
      <selection activeCell="O14" sqref="O14"/>
    </sheetView>
  </sheetViews>
  <sheetFormatPr baseColWidth="10" defaultColWidth="9.140625" defaultRowHeight="15" x14ac:dyDescent="0.25"/>
  <cols>
    <col min="1" max="1" width="3" customWidth="1"/>
    <col min="2" max="2" width="7" customWidth="1"/>
    <col min="3" max="3" width="46" customWidth="1"/>
    <col min="4" max="4" width="18" customWidth="1"/>
    <col min="5" max="5" width="13" customWidth="1"/>
    <col min="6" max="6" width="17" customWidth="1"/>
    <col min="7" max="7" width="34" customWidth="1"/>
    <col min="8" max="8" width="18" customWidth="1"/>
  </cols>
  <sheetData>
    <row r="1" spans="2:8" ht="6" customHeight="1" x14ac:dyDescent="0.25"/>
    <row r="2" spans="2:8" ht="27.95" customHeight="1" x14ac:dyDescent="0.25">
      <c r="B2" s="52" t="s">
        <v>23</v>
      </c>
      <c r="C2" s="53"/>
      <c r="D2" s="53"/>
      <c r="E2" s="53"/>
      <c r="F2" s="53"/>
      <c r="G2" s="53"/>
      <c r="H2" s="53"/>
    </row>
    <row r="3" spans="2:8" ht="6" customHeight="1" x14ac:dyDescent="0.25">
      <c r="H3">
        <f>COUNTIF(F6:F500,"✓ CUMPLE")</f>
        <v>9</v>
      </c>
    </row>
    <row r="4" spans="2:8" ht="15.95" customHeight="1" x14ac:dyDescent="0.25">
      <c r="B4" s="47" t="s">
        <v>52</v>
      </c>
      <c r="C4" s="48"/>
      <c r="D4" s="48"/>
      <c r="E4" s="48"/>
      <c r="F4" s="48"/>
      <c r="G4" s="48"/>
      <c r="H4" s="48"/>
    </row>
    <row r="5" spans="2:8" ht="33.950000000000003" customHeight="1" x14ac:dyDescent="0.25"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3" t="s">
        <v>59</v>
      </c>
    </row>
    <row r="6" spans="2:8" ht="20.100000000000001" customHeight="1" x14ac:dyDescent="0.25">
      <c r="B6" s="44" t="s">
        <v>150</v>
      </c>
      <c r="C6" s="46"/>
      <c r="D6" s="46"/>
      <c r="E6" s="46"/>
      <c r="F6" s="46"/>
      <c r="G6" s="46"/>
      <c r="H6" s="46"/>
    </row>
    <row r="7" spans="2:8" ht="32.1" customHeight="1" x14ac:dyDescent="0.25">
      <c r="B7" s="4">
        <v>1</v>
      </c>
      <c r="C7" s="5" t="s">
        <v>151</v>
      </c>
      <c r="D7" s="6" t="s">
        <v>62</v>
      </c>
      <c r="E7" s="7" t="s">
        <v>63</v>
      </c>
      <c r="F7" s="8" t="s">
        <v>11</v>
      </c>
      <c r="G7" s="9" t="s">
        <v>64</v>
      </c>
      <c r="H7" s="10" t="s">
        <v>90</v>
      </c>
    </row>
    <row r="8" spans="2:8" ht="32.1" customHeight="1" x14ac:dyDescent="0.25">
      <c r="B8" s="11">
        <v>2</v>
      </c>
      <c r="C8" s="12" t="s">
        <v>152</v>
      </c>
      <c r="D8" s="13" t="s">
        <v>62</v>
      </c>
      <c r="E8" s="7" t="s">
        <v>63</v>
      </c>
      <c r="F8" s="8" t="s">
        <v>11</v>
      </c>
      <c r="G8" s="14" t="s">
        <v>64</v>
      </c>
      <c r="H8" s="15" t="s">
        <v>90</v>
      </c>
    </row>
    <row r="9" spans="2:8" ht="32.1" customHeight="1" x14ac:dyDescent="0.25">
      <c r="B9" s="4">
        <v>3</v>
      </c>
      <c r="C9" s="5" t="s">
        <v>153</v>
      </c>
      <c r="D9" s="6" t="s">
        <v>67</v>
      </c>
      <c r="E9" s="7" t="s">
        <v>63</v>
      </c>
      <c r="F9" s="8" t="s">
        <v>40</v>
      </c>
      <c r="G9" s="9" t="s">
        <v>64</v>
      </c>
      <c r="H9" s="10" t="s">
        <v>154</v>
      </c>
    </row>
    <row r="10" spans="2:8" ht="32.1" customHeight="1" x14ac:dyDescent="0.25">
      <c r="B10" s="11">
        <v>4</v>
      </c>
      <c r="C10" s="12" t="s">
        <v>155</v>
      </c>
      <c r="D10" s="13" t="s">
        <v>71</v>
      </c>
      <c r="E10" s="16" t="s">
        <v>76</v>
      </c>
      <c r="F10" s="8" t="s">
        <v>11</v>
      </c>
      <c r="G10" s="14" t="s">
        <v>64</v>
      </c>
      <c r="H10" s="15" t="s">
        <v>117</v>
      </c>
    </row>
    <row r="11" spans="2:8" ht="32.1" customHeight="1" x14ac:dyDescent="0.25">
      <c r="B11" s="4">
        <v>5</v>
      </c>
      <c r="C11" s="5" t="s">
        <v>156</v>
      </c>
      <c r="D11" s="6" t="s">
        <v>67</v>
      </c>
      <c r="E11" s="16" t="s">
        <v>76</v>
      </c>
      <c r="F11" s="8" t="s">
        <v>13</v>
      </c>
      <c r="G11" s="9" t="s">
        <v>64</v>
      </c>
      <c r="H11" s="10" t="s">
        <v>147</v>
      </c>
    </row>
    <row r="12" spans="2:8" ht="32.1" customHeight="1" x14ac:dyDescent="0.25">
      <c r="B12" s="11">
        <v>6</v>
      </c>
      <c r="C12" s="12" t="s">
        <v>157</v>
      </c>
      <c r="D12" s="13" t="s">
        <v>71</v>
      </c>
      <c r="E12" s="16" t="s">
        <v>76</v>
      </c>
      <c r="F12" s="8" t="s">
        <v>40</v>
      </c>
      <c r="G12" s="14" t="s">
        <v>64</v>
      </c>
      <c r="H12" s="15" t="s">
        <v>117</v>
      </c>
    </row>
    <row r="13" spans="2:8" x14ac:dyDescent="0.25">
      <c r="B13" s="17"/>
      <c r="C13" s="18"/>
      <c r="D13" s="17"/>
      <c r="E13" s="17"/>
      <c r="F13" s="17"/>
      <c r="G13" s="18"/>
      <c r="H13" s="17"/>
    </row>
    <row r="14" spans="2:8" ht="20.100000000000001" customHeight="1" x14ac:dyDescent="0.25">
      <c r="B14" s="44" t="s">
        <v>158</v>
      </c>
      <c r="C14" s="45"/>
      <c r="D14" s="46"/>
      <c r="E14" s="46"/>
      <c r="F14" s="46"/>
      <c r="G14" s="45"/>
      <c r="H14" s="46"/>
    </row>
    <row r="15" spans="2:8" ht="32.1" customHeight="1" x14ac:dyDescent="0.25">
      <c r="B15" s="4">
        <v>7</v>
      </c>
      <c r="C15" s="5" t="s">
        <v>159</v>
      </c>
      <c r="D15" s="6" t="s">
        <v>62</v>
      </c>
      <c r="E15" s="7" t="s">
        <v>63</v>
      </c>
      <c r="F15" s="8" t="s">
        <v>11</v>
      </c>
      <c r="G15" s="9" t="s">
        <v>64</v>
      </c>
      <c r="H15" s="10" t="s">
        <v>90</v>
      </c>
    </row>
    <row r="16" spans="2:8" ht="32.1" customHeight="1" x14ac:dyDescent="0.25">
      <c r="B16" s="11">
        <v>8</v>
      </c>
      <c r="C16" s="12" t="s">
        <v>160</v>
      </c>
      <c r="D16" s="13" t="s">
        <v>67</v>
      </c>
      <c r="E16" s="16" t="s">
        <v>76</v>
      </c>
      <c r="F16" s="8" t="s">
        <v>11</v>
      </c>
      <c r="G16" s="14" t="s">
        <v>64</v>
      </c>
      <c r="H16" s="15" t="s">
        <v>90</v>
      </c>
    </row>
    <row r="17" spans="2:8" ht="32.1" customHeight="1" x14ac:dyDescent="0.25">
      <c r="B17" s="4">
        <v>9</v>
      </c>
      <c r="C17" s="5" t="s">
        <v>161</v>
      </c>
      <c r="D17" s="6" t="s">
        <v>62</v>
      </c>
      <c r="E17" s="16" t="s">
        <v>76</v>
      </c>
      <c r="F17" s="8" t="s">
        <v>40</v>
      </c>
      <c r="G17" s="9" t="s">
        <v>64</v>
      </c>
      <c r="H17" s="10" t="s">
        <v>162</v>
      </c>
    </row>
    <row r="18" spans="2:8" ht="32.1" customHeight="1" x14ac:dyDescent="0.25">
      <c r="B18" s="11">
        <v>10</v>
      </c>
      <c r="C18" s="12" t="s">
        <v>163</v>
      </c>
      <c r="D18" s="13" t="s">
        <v>67</v>
      </c>
      <c r="E18" s="16" t="s">
        <v>76</v>
      </c>
      <c r="F18" s="8" t="s">
        <v>40</v>
      </c>
      <c r="G18" s="14" t="s">
        <v>64</v>
      </c>
      <c r="H18" s="15" t="s">
        <v>90</v>
      </c>
    </row>
    <row r="19" spans="2:8" ht="32.1" customHeight="1" x14ac:dyDescent="0.25">
      <c r="B19" s="4">
        <v>11</v>
      </c>
      <c r="C19" s="5" t="s">
        <v>164</v>
      </c>
      <c r="D19" s="6" t="s">
        <v>71</v>
      </c>
      <c r="E19" s="16" t="s">
        <v>76</v>
      </c>
      <c r="F19" s="8" t="s">
        <v>40</v>
      </c>
      <c r="G19" s="9" t="s">
        <v>64</v>
      </c>
      <c r="H19" s="10" t="s">
        <v>90</v>
      </c>
    </row>
    <row r="20" spans="2:8" ht="32.1" customHeight="1" x14ac:dyDescent="0.25">
      <c r="B20" s="11">
        <v>12</v>
      </c>
      <c r="C20" s="12" t="s">
        <v>165</v>
      </c>
      <c r="D20" s="13" t="s">
        <v>71</v>
      </c>
      <c r="E20" s="19" t="s">
        <v>99</v>
      </c>
      <c r="F20" s="8" t="s">
        <v>11</v>
      </c>
      <c r="G20" s="14" t="s">
        <v>64</v>
      </c>
      <c r="H20" s="15" t="s">
        <v>90</v>
      </c>
    </row>
    <row r="21" spans="2:8" ht="32.1" customHeight="1" x14ac:dyDescent="0.25">
      <c r="B21" s="4">
        <v>13</v>
      </c>
      <c r="C21" s="5" t="s">
        <v>166</v>
      </c>
      <c r="D21" s="6" t="s">
        <v>71</v>
      </c>
      <c r="E21" s="16" t="s">
        <v>76</v>
      </c>
      <c r="F21" s="8" t="s">
        <v>11</v>
      </c>
      <c r="G21" s="9" t="s">
        <v>64</v>
      </c>
      <c r="H21" s="10" t="s">
        <v>147</v>
      </c>
    </row>
    <row r="22" spans="2:8" ht="32.1" customHeight="1" x14ac:dyDescent="0.25">
      <c r="B22" s="11">
        <v>14</v>
      </c>
      <c r="C22" s="12" t="s">
        <v>167</v>
      </c>
      <c r="D22" s="13" t="s">
        <v>67</v>
      </c>
      <c r="E22" s="16" t="s">
        <v>76</v>
      </c>
      <c r="F22" s="8" t="s">
        <v>11</v>
      </c>
      <c r="G22" s="14" t="s">
        <v>64</v>
      </c>
      <c r="H22" s="15" t="s">
        <v>168</v>
      </c>
    </row>
    <row r="23" spans="2:8" ht="32.1" customHeight="1" x14ac:dyDescent="0.25">
      <c r="B23" s="22">
        <v>15</v>
      </c>
      <c r="C23" s="23" t="s">
        <v>169</v>
      </c>
      <c r="D23" s="24" t="s">
        <v>71</v>
      </c>
      <c r="E23" s="22" t="s">
        <v>99</v>
      </c>
      <c r="F23" s="25" t="s">
        <v>11</v>
      </c>
      <c r="G23" s="26" t="s">
        <v>64</v>
      </c>
      <c r="H23" s="27" t="s">
        <v>162</v>
      </c>
    </row>
    <row r="24" spans="2:8" x14ac:dyDescent="0.25">
      <c r="B24" s="17"/>
      <c r="C24" s="18"/>
      <c r="D24" s="17"/>
      <c r="E24" s="17"/>
      <c r="F24" s="17"/>
      <c r="G24" s="18"/>
      <c r="H24" s="17"/>
    </row>
    <row r="25" spans="2:8" ht="20.100000000000001" customHeight="1" x14ac:dyDescent="0.25">
      <c r="B25" s="49" t="s">
        <v>170</v>
      </c>
      <c r="C25" s="50"/>
      <c r="D25" s="51"/>
      <c r="E25" s="51"/>
      <c r="F25" s="51"/>
      <c r="G25" s="50"/>
      <c r="H25" s="51"/>
    </row>
    <row r="26" spans="2:8" ht="32.1" customHeight="1" x14ac:dyDescent="0.25">
      <c r="B26" s="4">
        <v>16</v>
      </c>
      <c r="C26" s="5" t="s">
        <v>171</v>
      </c>
      <c r="D26" s="6" t="s">
        <v>62</v>
      </c>
      <c r="E26" s="19" t="s">
        <v>99</v>
      </c>
      <c r="F26" s="8" t="s">
        <v>40</v>
      </c>
      <c r="G26" s="9" t="s">
        <v>64</v>
      </c>
      <c r="H26" s="10" t="s">
        <v>172</v>
      </c>
    </row>
    <row r="27" spans="2:8" ht="32.1" customHeight="1" x14ac:dyDescent="0.25">
      <c r="B27" s="22">
        <v>17</v>
      </c>
      <c r="C27" s="23" t="s">
        <v>173</v>
      </c>
      <c r="D27" s="24" t="s">
        <v>62</v>
      </c>
      <c r="E27" s="22" t="s">
        <v>76</v>
      </c>
      <c r="F27" s="25" t="s">
        <v>40</v>
      </c>
      <c r="G27" s="26" t="s">
        <v>64</v>
      </c>
      <c r="H27" s="27" t="s">
        <v>90</v>
      </c>
    </row>
    <row r="28" spans="2:8" ht="32.1" customHeight="1" x14ac:dyDescent="0.25">
      <c r="B28" s="4">
        <v>18</v>
      </c>
      <c r="C28" s="5" t="s">
        <v>174</v>
      </c>
      <c r="D28" s="6" t="s">
        <v>67</v>
      </c>
      <c r="E28" s="16" t="s">
        <v>76</v>
      </c>
      <c r="F28" s="8" t="s">
        <v>40</v>
      </c>
      <c r="G28" s="9" t="s">
        <v>64</v>
      </c>
      <c r="H28" s="10" t="s">
        <v>175</v>
      </c>
    </row>
    <row r="29" spans="2:8" ht="32.1" customHeight="1" x14ac:dyDescent="0.25">
      <c r="B29" s="11">
        <v>19</v>
      </c>
      <c r="C29" s="12" t="s">
        <v>176</v>
      </c>
      <c r="D29" s="13" t="s">
        <v>67</v>
      </c>
      <c r="E29" s="16" t="s">
        <v>76</v>
      </c>
      <c r="F29" s="8" t="s">
        <v>40</v>
      </c>
      <c r="G29" s="14" t="s">
        <v>64</v>
      </c>
      <c r="H29" s="15" t="s">
        <v>154</v>
      </c>
    </row>
    <row r="30" spans="2:8" ht="32.1" customHeight="1" x14ac:dyDescent="0.25">
      <c r="B30" s="4">
        <v>20</v>
      </c>
      <c r="C30" s="5" t="s">
        <v>177</v>
      </c>
      <c r="D30" s="6" t="s">
        <v>71</v>
      </c>
      <c r="E30" s="19" t="s">
        <v>99</v>
      </c>
      <c r="F30" s="8" t="s">
        <v>40</v>
      </c>
      <c r="G30" s="9" t="s">
        <v>64</v>
      </c>
      <c r="H30" s="10" t="s">
        <v>178</v>
      </c>
    </row>
    <row r="31" spans="2:8" x14ac:dyDescent="0.25">
      <c r="B31" s="17"/>
      <c r="C31" s="18"/>
      <c r="D31" s="17"/>
      <c r="E31" s="17"/>
      <c r="F31" s="17"/>
      <c r="G31" s="18"/>
      <c r="H31" s="17"/>
    </row>
    <row r="32" spans="2:8" x14ac:dyDescent="0.25">
      <c r="B32" s="17"/>
      <c r="C32" s="18"/>
      <c r="D32" s="17"/>
      <c r="E32" s="17"/>
      <c r="F32" s="17"/>
      <c r="G32" s="18"/>
      <c r="H32" s="17"/>
    </row>
    <row r="33" spans="2:8" x14ac:dyDescent="0.25">
      <c r="B33" s="20"/>
      <c r="C33" s="21"/>
      <c r="D33" s="20"/>
      <c r="E33" s="20"/>
      <c r="F33" s="20"/>
      <c r="G33" s="21"/>
      <c r="H33" s="20"/>
    </row>
    <row r="34" spans="2:8" x14ac:dyDescent="0.25">
      <c r="B34" s="17"/>
      <c r="C34" s="18"/>
      <c r="D34" s="17"/>
      <c r="E34" s="17"/>
      <c r="F34" s="17"/>
      <c r="G34" s="18"/>
      <c r="H34" s="17"/>
    </row>
    <row r="35" spans="2:8" x14ac:dyDescent="0.25">
      <c r="B35" s="17"/>
      <c r="C35" s="18"/>
      <c r="D35" s="17"/>
      <c r="E35" s="17"/>
      <c r="F35" s="17"/>
      <c r="G35" s="18"/>
      <c r="H35" s="17"/>
    </row>
    <row r="36" spans="2:8" x14ac:dyDescent="0.25">
      <c r="B36" s="17"/>
      <c r="C36" s="18"/>
      <c r="D36" s="17"/>
      <c r="E36" s="17"/>
      <c r="F36" s="17"/>
      <c r="G36" s="18"/>
      <c r="H36" s="17"/>
    </row>
    <row r="37" spans="2:8" x14ac:dyDescent="0.25">
      <c r="B37" s="17"/>
      <c r="C37" s="18"/>
      <c r="D37" s="17"/>
      <c r="E37" s="17"/>
      <c r="F37" s="17"/>
      <c r="G37" s="18"/>
      <c r="H37" s="17"/>
    </row>
    <row r="38" spans="2:8" x14ac:dyDescent="0.25">
      <c r="B38" s="17"/>
      <c r="C38" s="18"/>
      <c r="D38" s="17"/>
      <c r="E38" s="17"/>
      <c r="F38" s="17"/>
      <c r="G38" s="18"/>
      <c r="H38" s="17"/>
    </row>
    <row r="39" spans="2:8" x14ac:dyDescent="0.25">
      <c r="B39" s="17"/>
      <c r="C39" s="18"/>
      <c r="D39" s="17"/>
      <c r="E39" s="17"/>
      <c r="F39" s="17"/>
      <c r="G39" s="18"/>
      <c r="H39" s="17"/>
    </row>
  </sheetData>
  <mergeCells count="5">
    <mergeCell ref="B14:H14"/>
    <mergeCell ref="B4:H4"/>
    <mergeCell ref="B6:H6"/>
    <mergeCell ref="B2:H2"/>
    <mergeCell ref="B25:H25"/>
  </mergeCells>
  <conditionalFormatting sqref="E7:E39">
    <cfRule type="expression" dxfId="54" priority="8">
      <formula>E7="CRÍTICO"</formula>
    </cfRule>
    <cfRule type="expression" dxfId="53" priority="9">
      <formula>E7="ALTO"</formula>
    </cfRule>
    <cfRule type="expression" dxfId="52" priority="10">
      <formula>E7="MEDIO"</formula>
    </cfRule>
    <cfRule type="expression" dxfId="51" priority="11">
      <formula>E7="BAJO"</formula>
    </cfRule>
  </conditionalFormatting>
  <conditionalFormatting sqref="F6:F32">
    <cfRule type="expression" dxfId="50" priority="1">
      <formula>NOT(ISERROR(SEARCH("CUMPLE",F6)))</formula>
    </cfRule>
    <cfRule type="expression" dxfId="49" priority="2">
      <formula>NOT(ISERROR(SEARCH("NO CUMPLE",F6)))</formula>
    </cfRule>
    <cfRule type="expression" dxfId="48" priority="3">
      <formula>NOT(ISERROR(SEARCH("PENDIENTE",F6)))</formula>
    </cfRule>
  </conditionalFormatting>
  <conditionalFormatting sqref="F7:F39">
    <cfRule type="expression" dxfId="47" priority="4">
      <formula>F7="✓ CUMPLE"</formula>
    </cfRule>
    <cfRule type="expression" dxfId="46" priority="5">
      <formula>F7="⚠ PENDIENTE"</formula>
    </cfRule>
    <cfRule type="expression" dxfId="45" priority="6">
      <formula>F7="✗ NO CUMPLE"</formula>
    </cfRule>
    <cfRule type="expression" dxfId="44" priority="7">
      <formula>F7="N/A"</formula>
    </cfRule>
  </conditionalFormatting>
  <dataValidations count="4">
    <dataValidation type="list" allowBlank="1" sqref="F7 F8 F9 F10 F11 F12 F15 F16 F17 F18 F19 F20 F21 F22 F23 F26 F27 F28 F29 F30" xr:uid="{00000000-0002-0000-0300-000000000000}">
      <formula1>"✓ CUMPLE,⚠ PENDIENTE,✗ NO CUMPLE,N/A"</formula1>
    </dataValidation>
    <dataValidation type="list" sqref="D7:D39" xr:uid="{00000000-0002-0000-0300-000001000000}">
      <formula1>"Jefe Propuesta,Analista 1,Analista 2,Administración,Legal,Finanzas"</formula1>
    </dataValidation>
    <dataValidation type="list" sqref="E7:E39" xr:uid="{00000000-0002-0000-0300-000002000000}">
      <formula1>"CRÍTICO,ALTO,MEDIO,BAJO"</formula1>
    </dataValidation>
    <dataValidation type="list" sqref="F7:F39" xr:uid="{00000000-0002-0000-0300-000003000000}">
      <formula1>"✓ CUMPLE,⚠ PENDIENTE,✗ NO CUMPLE,N/A"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39"/>
  <sheetViews>
    <sheetView showGridLines="0" topLeftCell="A7" workbookViewId="0">
      <selection activeCell="F18" sqref="F18"/>
    </sheetView>
  </sheetViews>
  <sheetFormatPr baseColWidth="10" defaultColWidth="9.140625" defaultRowHeight="15" x14ac:dyDescent="0.25"/>
  <cols>
    <col min="1" max="1" width="3" customWidth="1"/>
    <col min="2" max="2" width="7" customWidth="1"/>
    <col min="3" max="3" width="46" customWidth="1"/>
    <col min="4" max="4" width="18" customWidth="1"/>
    <col min="5" max="5" width="13" customWidth="1"/>
    <col min="6" max="6" width="17" customWidth="1"/>
    <col min="7" max="7" width="34" customWidth="1"/>
    <col min="8" max="8" width="18" customWidth="1"/>
  </cols>
  <sheetData>
    <row r="1" spans="2:8" ht="6" customHeight="1" x14ac:dyDescent="0.25"/>
    <row r="2" spans="2:8" ht="27.95" customHeight="1" x14ac:dyDescent="0.25">
      <c r="B2" s="52" t="s">
        <v>25</v>
      </c>
      <c r="C2" s="53"/>
      <c r="D2" s="53"/>
      <c r="E2" s="53"/>
      <c r="F2" s="53"/>
      <c r="G2" s="53"/>
      <c r="H2" s="53"/>
    </row>
    <row r="3" spans="2:8" ht="6" customHeight="1" x14ac:dyDescent="0.25">
      <c r="H3">
        <f>COUNTIF(F6:F500,"✓ CUMPLE")</f>
        <v>15</v>
      </c>
    </row>
    <row r="4" spans="2:8" ht="15.95" customHeight="1" x14ac:dyDescent="0.25">
      <c r="B4" s="47" t="s">
        <v>52</v>
      </c>
      <c r="C4" s="48"/>
      <c r="D4" s="48"/>
      <c r="E4" s="48"/>
      <c r="F4" s="48"/>
      <c r="G4" s="48"/>
      <c r="H4" s="48"/>
    </row>
    <row r="5" spans="2:8" ht="33.950000000000003" customHeight="1" x14ac:dyDescent="0.25"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3" t="s">
        <v>59</v>
      </c>
    </row>
    <row r="6" spans="2:8" ht="20.100000000000001" customHeight="1" x14ac:dyDescent="0.25">
      <c r="B6" s="44" t="s">
        <v>179</v>
      </c>
      <c r="C6" s="46"/>
      <c r="D6" s="46"/>
      <c r="E6" s="46"/>
      <c r="F6" s="46"/>
      <c r="G6" s="46"/>
      <c r="H6" s="46"/>
    </row>
    <row r="7" spans="2:8" ht="32.1" customHeight="1" x14ac:dyDescent="0.25">
      <c r="B7" s="4">
        <v>1</v>
      </c>
      <c r="C7" s="5" t="s">
        <v>180</v>
      </c>
      <c r="D7" s="6" t="s">
        <v>62</v>
      </c>
      <c r="E7" s="7" t="s">
        <v>63</v>
      </c>
      <c r="F7" s="8" t="s">
        <v>11</v>
      </c>
      <c r="G7" s="9" t="s">
        <v>64</v>
      </c>
      <c r="H7" s="10" t="s">
        <v>80</v>
      </c>
    </row>
    <row r="8" spans="2:8" ht="32.1" customHeight="1" x14ac:dyDescent="0.25">
      <c r="B8" s="11">
        <v>2</v>
      </c>
      <c r="C8" s="12" t="s">
        <v>181</v>
      </c>
      <c r="D8" s="13" t="s">
        <v>67</v>
      </c>
      <c r="E8" s="7" t="s">
        <v>63</v>
      </c>
      <c r="F8" s="8" t="s">
        <v>11</v>
      </c>
      <c r="G8" s="14" t="s">
        <v>64</v>
      </c>
      <c r="H8" s="15" t="s">
        <v>182</v>
      </c>
    </row>
    <row r="9" spans="2:8" ht="32.1" customHeight="1" x14ac:dyDescent="0.25">
      <c r="B9" s="4">
        <v>3</v>
      </c>
      <c r="C9" s="5" t="s">
        <v>183</v>
      </c>
      <c r="D9" s="6" t="s">
        <v>67</v>
      </c>
      <c r="E9" s="7" t="s">
        <v>63</v>
      </c>
      <c r="F9" s="8" t="s">
        <v>11</v>
      </c>
      <c r="G9" s="9" t="s">
        <v>64</v>
      </c>
      <c r="H9" s="10" t="s">
        <v>182</v>
      </c>
    </row>
    <row r="10" spans="2:8" ht="32.1" customHeight="1" x14ac:dyDescent="0.25">
      <c r="B10" s="11">
        <v>4</v>
      </c>
      <c r="C10" s="12" t="s">
        <v>184</v>
      </c>
      <c r="D10" s="13" t="s">
        <v>67</v>
      </c>
      <c r="E10" s="7" t="s">
        <v>63</v>
      </c>
      <c r="F10" s="8" t="s">
        <v>11</v>
      </c>
      <c r="G10" s="14" t="s">
        <v>64</v>
      </c>
      <c r="H10" s="15" t="s">
        <v>117</v>
      </c>
    </row>
    <row r="11" spans="2:8" ht="32.1" customHeight="1" x14ac:dyDescent="0.25">
      <c r="B11" s="4">
        <v>5</v>
      </c>
      <c r="C11" s="5" t="s">
        <v>185</v>
      </c>
      <c r="D11" s="6" t="s">
        <v>71</v>
      </c>
      <c r="E11" s="7" t="s">
        <v>63</v>
      </c>
      <c r="F11" s="8" t="s">
        <v>11</v>
      </c>
      <c r="G11" s="9" t="s">
        <v>64</v>
      </c>
      <c r="H11" s="10" t="s">
        <v>182</v>
      </c>
    </row>
    <row r="12" spans="2:8" ht="32.1" customHeight="1" x14ac:dyDescent="0.25">
      <c r="B12" s="11">
        <v>6</v>
      </c>
      <c r="C12" s="12" t="s">
        <v>186</v>
      </c>
      <c r="D12" s="13" t="s">
        <v>71</v>
      </c>
      <c r="E12" s="7" t="s">
        <v>63</v>
      </c>
      <c r="F12" s="8" t="s">
        <v>13</v>
      </c>
      <c r="G12" s="14" t="s">
        <v>64</v>
      </c>
      <c r="H12" s="15" t="s">
        <v>187</v>
      </c>
    </row>
    <row r="13" spans="2:8" x14ac:dyDescent="0.25">
      <c r="B13" s="17"/>
      <c r="C13" s="18"/>
      <c r="D13" s="17"/>
      <c r="E13" s="17"/>
      <c r="F13" s="17"/>
      <c r="G13" s="18"/>
      <c r="H13" s="17"/>
    </row>
    <row r="14" spans="2:8" ht="20.100000000000001" customHeight="1" x14ac:dyDescent="0.25">
      <c r="B14" s="44" t="s">
        <v>188</v>
      </c>
      <c r="C14" s="45"/>
      <c r="D14" s="46"/>
      <c r="E14" s="46"/>
      <c r="F14" s="46"/>
      <c r="G14" s="45"/>
      <c r="H14" s="46"/>
    </row>
    <row r="15" spans="2:8" ht="32.1" customHeight="1" x14ac:dyDescent="0.25">
      <c r="B15" s="4">
        <v>7</v>
      </c>
      <c r="C15" s="5" t="s">
        <v>189</v>
      </c>
      <c r="D15" s="6" t="s">
        <v>62</v>
      </c>
      <c r="E15" s="7" t="s">
        <v>63</v>
      </c>
      <c r="F15" s="8" t="s">
        <v>11</v>
      </c>
      <c r="G15" s="9" t="s">
        <v>64</v>
      </c>
      <c r="H15" s="10" t="s">
        <v>80</v>
      </c>
    </row>
    <row r="16" spans="2:8" ht="32.1" customHeight="1" x14ac:dyDescent="0.25">
      <c r="B16" s="11">
        <v>8</v>
      </c>
      <c r="C16" s="12" t="s">
        <v>190</v>
      </c>
      <c r="D16" s="13" t="s">
        <v>67</v>
      </c>
      <c r="E16" s="7" t="s">
        <v>63</v>
      </c>
      <c r="F16" s="8" t="s">
        <v>11</v>
      </c>
      <c r="G16" s="14" t="s">
        <v>64</v>
      </c>
      <c r="H16" s="15" t="s">
        <v>80</v>
      </c>
    </row>
    <row r="17" spans="2:8" ht="32.1" customHeight="1" x14ac:dyDescent="0.25">
      <c r="B17" s="4">
        <v>9</v>
      </c>
      <c r="C17" s="5" t="s">
        <v>191</v>
      </c>
      <c r="D17" s="6" t="s">
        <v>67</v>
      </c>
      <c r="E17" s="16" t="s">
        <v>76</v>
      </c>
      <c r="F17" s="8" t="s">
        <v>11</v>
      </c>
      <c r="G17" s="9" t="s">
        <v>64</v>
      </c>
      <c r="H17" s="10" t="s">
        <v>117</v>
      </c>
    </row>
    <row r="18" spans="2:8" ht="32.1" customHeight="1" x14ac:dyDescent="0.25">
      <c r="B18" s="11">
        <v>10</v>
      </c>
      <c r="C18" s="12" t="s">
        <v>192</v>
      </c>
      <c r="D18" s="13" t="s">
        <v>62</v>
      </c>
      <c r="E18" s="16" t="s">
        <v>76</v>
      </c>
      <c r="F18" s="8" t="s">
        <v>13</v>
      </c>
      <c r="G18" s="14" t="s">
        <v>64</v>
      </c>
      <c r="H18" s="15" t="s">
        <v>92</v>
      </c>
    </row>
    <row r="19" spans="2:8" ht="32.1" customHeight="1" x14ac:dyDescent="0.25">
      <c r="B19" s="4">
        <v>11</v>
      </c>
      <c r="C19" s="5" t="s">
        <v>193</v>
      </c>
      <c r="D19" s="6" t="s">
        <v>71</v>
      </c>
      <c r="E19" s="16" t="s">
        <v>76</v>
      </c>
      <c r="F19" s="8" t="s">
        <v>40</v>
      </c>
      <c r="G19" s="9" t="s">
        <v>64</v>
      </c>
      <c r="H19" s="10" t="s">
        <v>194</v>
      </c>
    </row>
    <row r="20" spans="2:8" x14ac:dyDescent="0.25">
      <c r="B20" s="17"/>
      <c r="C20" s="18"/>
      <c r="D20" s="17"/>
      <c r="E20" s="17"/>
      <c r="F20" s="17"/>
      <c r="G20" s="18"/>
      <c r="H20" s="17"/>
    </row>
    <row r="21" spans="2:8" ht="20.100000000000001" customHeight="1" x14ac:dyDescent="0.25">
      <c r="B21" s="49" t="s">
        <v>195</v>
      </c>
      <c r="C21" s="50"/>
      <c r="D21" s="51"/>
      <c r="E21" s="51"/>
      <c r="F21" s="51"/>
      <c r="G21" s="50"/>
      <c r="H21" s="51"/>
    </row>
    <row r="22" spans="2:8" ht="32.1" customHeight="1" x14ac:dyDescent="0.25">
      <c r="B22" s="4">
        <v>12</v>
      </c>
      <c r="C22" s="5" t="s">
        <v>196</v>
      </c>
      <c r="D22" s="6" t="s">
        <v>62</v>
      </c>
      <c r="E22" s="7" t="s">
        <v>63</v>
      </c>
      <c r="F22" s="8" t="s">
        <v>11</v>
      </c>
      <c r="G22" s="9" t="s">
        <v>64</v>
      </c>
      <c r="H22" s="10" t="s">
        <v>92</v>
      </c>
    </row>
    <row r="23" spans="2:8" ht="32.1" customHeight="1" x14ac:dyDescent="0.25">
      <c r="B23" s="22">
        <v>13</v>
      </c>
      <c r="C23" s="23" t="s">
        <v>197</v>
      </c>
      <c r="D23" s="24" t="s">
        <v>62</v>
      </c>
      <c r="E23" s="22" t="s">
        <v>76</v>
      </c>
      <c r="F23" s="25" t="s">
        <v>11</v>
      </c>
      <c r="G23" s="26" t="s">
        <v>64</v>
      </c>
      <c r="H23" s="27" t="s">
        <v>92</v>
      </c>
    </row>
    <row r="24" spans="2:8" ht="32.1" customHeight="1" x14ac:dyDescent="0.25">
      <c r="B24" s="4">
        <v>14</v>
      </c>
      <c r="C24" s="5" t="s">
        <v>198</v>
      </c>
      <c r="D24" s="6" t="s">
        <v>62</v>
      </c>
      <c r="E24" s="7" t="s">
        <v>63</v>
      </c>
      <c r="F24" s="8" t="s">
        <v>11</v>
      </c>
      <c r="G24" s="9" t="s">
        <v>64</v>
      </c>
      <c r="H24" s="10" t="s">
        <v>199</v>
      </c>
    </row>
    <row r="25" spans="2:8" ht="32.1" customHeight="1" x14ac:dyDescent="0.25">
      <c r="B25" s="11">
        <v>15</v>
      </c>
      <c r="C25" s="12" t="s">
        <v>200</v>
      </c>
      <c r="D25" s="13" t="s">
        <v>62</v>
      </c>
      <c r="E25" s="19" t="s">
        <v>99</v>
      </c>
      <c r="F25" s="8" t="s">
        <v>40</v>
      </c>
      <c r="G25" s="14" t="s">
        <v>64</v>
      </c>
      <c r="H25" s="15" t="s">
        <v>201</v>
      </c>
    </row>
    <row r="26" spans="2:8" x14ac:dyDescent="0.25">
      <c r="B26" s="17"/>
      <c r="C26" s="18"/>
      <c r="D26" s="17"/>
      <c r="E26" s="17"/>
      <c r="F26" s="17"/>
      <c r="G26" s="18"/>
      <c r="H26" s="17"/>
    </row>
    <row r="27" spans="2:8" ht="20.100000000000001" customHeight="1" x14ac:dyDescent="0.25">
      <c r="B27" s="44" t="s">
        <v>202</v>
      </c>
      <c r="C27" s="45"/>
      <c r="D27" s="46"/>
      <c r="E27" s="46"/>
      <c r="F27" s="46"/>
      <c r="G27" s="45"/>
      <c r="H27" s="46"/>
    </row>
    <row r="28" spans="2:8" ht="32.1" customHeight="1" x14ac:dyDescent="0.25">
      <c r="B28" s="4">
        <v>16</v>
      </c>
      <c r="C28" s="5" t="s">
        <v>203</v>
      </c>
      <c r="D28" s="6" t="s">
        <v>67</v>
      </c>
      <c r="E28" s="7" t="s">
        <v>63</v>
      </c>
      <c r="F28" s="8" t="s">
        <v>11</v>
      </c>
      <c r="G28" s="9" t="s">
        <v>64</v>
      </c>
      <c r="H28" s="10" t="s">
        <v>80</v>
      </c>
    </row>
    <row r="29" spans="2:8" ht="32.1" customHeight="1" x14ac:dyDescent="0.25">
      <c r="B29" s="11">
        <v>17</v>
      </c>
      <c r="C29" s="12" t="s">
        <v>204</v>
      </c>
      <c r="D29" s="13" t="s">
        <v>67</v>
      </c>
      <c r="E29" s="7" t="s">
        <v>63</v>
      </c>
      <c r="F29" s="8" t="s">
        <v>11</v>
      </c>
      <c r="G29" s="14" t="s">
        <v>64</v>
      </c>
      <c r="H29" s="15" t="s">
        <v>80</v>
      </c>
    </row>
    <row r="30" spans="2:8" ht="32.1" customHeight="1" x14ac:dyDescent="0.25">
      <c r="B30" s="4">
        <v>18</v>
      </c>
      <c r="C30" s="5" t="s">
        <v>205</v>
      </c>
      <c r="D30" s="6" t="s">
        <v>71</v>
      </c>
      <c r="E30" s="7" t="s">
        <v>63</v>
      </c>
      <c r="F30" s="8" t="s">
        <v>11</v>
      </c>
      <c r="G30" s="9" t="s">
        <v>64</v>
      </c>
      <c r="H30" s="10" t="s">
        <v>80</v>
      </c>
    </row>
    <row r="31" spans="2:8" ht="32.1" customHeight="1" x14ac:dyDescent="0.25">
      <c r="B31" s="11">
        <v>19</v>
      </c>
      <c r="C31" s="12" t="s">
        <v>206</v>
      </c>
      <c r="D31" s="13" t="s">
        <v>71</v>
      </c>
      <c r="E31" s="7" t="s">
        <v>63</v>
      </c>
      <c r="F31" s="8" t="s">
        <v>11</v>
      </c>
      <c r="G31" s="14" t="s">
        <v>64</v>
      </c>
      <c r="H31" s="15" t="s">
        <v>80</v>
      </c>
    </row>
    <row r="32" spans="2:8" ht="32.1" customHeight="1" x14ac:dyDescent="0.25">
      <c r="B32" s="4">
        <v>20</v>
      </c>
      <c r="C32" s="5" t="s">
        <v>207</v>
      </c>
      <c r="D32" s="6" t="s">
        <v>67</v>
      </c>
      <c r="E32" s="7" t="s">
        <v>63</v>
      </c>
      <c r="F32" s="8" t="s">
        <v>13</v>
      </c>
      <c r="G32" s="9" t="s">
        <v>64</v>
      </c>
      <c r="H32" s="10" t="s">
        <v>208</v>
      </c>
    </row>
    <row r="33" spans="2:8" x14ac:dyDescent="0.25">
      <c r="B33" s="20"/>
      <c r="C33" s="21"/>
      <c r="D33" s="20"/>
      <c r="E33" s="20"/>
      <c r="F33" s="20"/>
      <c r="G33" s="21"/>
      <c r="H33" s="20"/>
    </row>
    <row r="34" spans="2:8" x14ac:dyDescent="0.25">
      <c r="B34" s="17"/>
      <c r="C34" s="18"/>
      <c r="D34" s="17"/>
      <c r="E34" s="17"/>
      <c r="F34" s="17"/>
      <c r="G34" s="18"/>
      <c r="H34" s="17"/>
    </row>
    <row r="35" spans="2:8" x14ac:dyDescent="0.25">
      <c r="B35" s="17"/>
      <c r="C35" s="18"/>
      <c r="D35" s="17"/>
      <c r="E35" s="17"/>
      <c r="F35" s="17"/>
      <c r="G35" s="18"/>
      <c r="H35" s="17"/>
    </row>
    <row r="36" spans="2:8" x14ac:dyDescent="0.25">
      <c r="B36" s="17"/>
      <c r="C36" s="18"/>
      <c r="D36" s="17"/>
      <c r="E36" s="17"/>
      <c r="F36" s="17"/>
      <c r="G36" s="18"/>
      <c r="H36" s="17"/>
    </row>
    <row r="37" spans="2:8" x14ac:dyDescent="0.25">
      <c r="B37" s="17"/>
      <c r="C37" s="18"/>
      <c r="D37" s="17"/>
      <c r="E37" s="17"/>
      <c r="F37" s="17"/>
      <c r="G37" s="18"/>
      <c r="H37" s="17"/>
    </row>
    <row r="38" spans="2:8" x14ac:dyDescent="0.25">
      <c r="B38" s="17"/>
      <c r="C38" s="18"/>
      <c r="D38" s="17"/>
      <c r="E38" s="17"/>
      <c r="F38" s="17"/>
      <c r="G38" s="18"/>
      <c r="H38" s="17"/>
    </row>
    <row r="39" spans="2:8" x14ac:dyDescent="0.25">
      <c r="B39" s="17"/>
      <c r="C39" s="18"/>
      <c r="D39" s="17"/>
      <c r="E39" s="17"/>
      <c r="F39" s="17"/>
      <c r="G39" s="18"/>
      <c r="H39" s="17"/>
    </row>
  </sheetData>
  <mergeCells count="6">
    <mergeCell ref="B2:H2"/>
    <mergeCell ref="B14:H14"/>
    <mergeCell ref="B27:H27"/>
    <mergeCell ref="B4:H4"/>
    <mergeCell ref="B21:H21"/>
    <mergeCell ref="B6:H6"/>
  </mergeCells>
  <conditionalFormatting sqref="E7:E39">
    <cfRule type="expression" dxfId="43" priority="8">
      <formula>E7="CRÍTICO"</formula>
    </cfRule>
    <cfRule type="expression" dxfId="42" priority="9">
      <formula>E7="ALTO"</formula>
    </cfRule>
    <cfRule type="expression" dxfId="41" priority="10">
      <formula>E7="MEDIO"</formula>
    </cfRule>
    <cfRule type="expression" dxfId="40" priority="11">
      <formula>E7="BAJO"</formula>
    </cfRule>
  </conditionalFormatting>
  <conditionalFormatting sqref="F6:F34">
    <cfRule type="expression" dxfId="39" priority="1">
      <formula>NOT(ISERROR(SEARCH("CUMPLE",F6)))</formula>
    </cfRule>
    <cfRule type="expression" dxfId="38" priority="2">
      <formula>NOT(ISERROR(SEARCH("NO CUMPLE",F6)))</formula>
    </cfRule>
    <cfRule type="expression" dxfId="37" priority="3">
      <formula>NOT(ISERROR(SEARCH("PENDIENTE",F6)))</formula>
    </cfRule>
  </conditionalFormatting>
  <conditionalFormatting sqref="F7:F39">
    <cfRule type="expression" dxfId="36" priority="4">
      <formula>F7="✓ CUMPLE"</formula>
    </cfRule>
    <cfRule type="expression" dxfId="35" priority="5">
      <formula>F7="⚠ PENDIENTE"</formula>
    </cfRule>
    <cfRule type="expression" dxfId="34" priority="6">
      <formula>F7="✗ NO CUMPLE"</formula>
    </cfRule>
    <cfRule type="expression" dxfId="33" priority="7">
      <formula>F7="N/A"</formula>
    </cfRule>
  </conditionalFormatting>
  <dataValidations count="4">
    <dataValidation type="list" allowBlank="1" sqref="F7 F8 F9 F10 F11 F12 F15 F16 F17 F18 F19 F22 F23 F24 F25 F28 F29 F30 F31 F32" xr:uid="{00000000-0002-0000-0400-000000000000}">
      <formula1>"✓ CUMPLE,⚠ PENDIENTE,✗ NO CUMPLE,N/A"</formula1>
    </dataValidation>
    <dataValidation type="list" sqref="D7:D39" xr:uid="{00000000-0002-0000-0400-000001000000}">
      <formula1>"Jefe Propuesta,Analista 1,Analista 2,Administración,Legal,Finanzas"</formula1>
    </dataValidation>
    <dataValidation type="list" sqref="E7:E39" xr:uid="{00000000-0002-0000-0400-000002000000}">
      <formula1>"CRÍTICO,ALTO,MEDIO,BAJO"</formula1>
    </dataValidation>
    <dataValidation type="list" sqref="F7:F39" xr:uid="{00000000-0002-0000-0400-000003000000}">
      <formula1>"✓ CUMPLE,⚠ PENDIENTE,✗ NO CUMPLE,N/A"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39"/>
  <sheetViews>
    <sheetView showGridLines="0" tabSelected="1" workbookViewId="0">
      <selection activeCell="O7" sqref="O7"/>
    </sheetView>
  </sheetViews>
  <sheetFormatPr baseColWidth="10" defaultColWidth="9.140625" defaultRowHeight="15" x14ac:dyDescent="0.25"/>
  <cols>
    <col min="1" max="1" width="3" customWidth="1"/>
    <col min="2" max="2" width="7" customWidth="1"/>
    <col min="3" max="3" width="46" customWidth="1"/>
    <col min="4" max="4" width="18" customWidth="1"/>
    <col min="5" max="5" width="13" customWidth="1"/>
    <col min="6" max="6" width="17" customWidth="1"/>
    <col min="7" max="7" width="34" customWidth="1"/>
    <col min="8" max="8" width="18" customWidth="1"/>
  </cols>
  <sheetData>
    <row r="1" spans="2:8" ht="6" customHeight="1" x14ac:dyDescent="0.25"/>
    <row r="2" spans="2:8" ht="27.95" customHeight="1" x14ac:dyDescent="0.25">
      <c r="B2" s="52" t="s">
        <v>27</v>
      </c>
      <c r="C2" s="53"/>
      <c r="D2" s="53"/>
      <c r="E2" s="53"/>
      <c r="F2" s="53"/>
      <c r="G2" s="53"/>
      <c r="H2" s="53"/>
    </row>
    <row r="3" spans="2:8" ht="6" customHeight="1" x14ac:dyDescent="0.25">
      <c r="H3">
        <f>COUNTIF(F6:F500,"✓ CUMPLE")</f>
        <v>8</v>
      </c>
    </row>
    <row r="4" spans="2:8" ht="15.95" customHeight="1" x14ac:dyDescent="0.25">
      <c r="B4" s="47" t="s">
        <v>52</v>
      </c>
      <c r="C4" s="48"/>
      <c r="D4" s="48"/>
      <c r="E4" s="48"/>
      <c r="F4" s="48"/>
      <c r="G4" s="48"/>
      <c r="H4" s="48"/>
    </row>
    <row r="5" spans="2:8" ht="33.950000000000003" customHeight="1" x14ac:dyDescent="0.25"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3" t="s">
        <v>59</v>
      </c>
    </row>
    <row r="6" spans="2:8" ht="20.100000000000001" customHeight="1" x14ac:dyDescent="0.25">
      <c r="B6" s="44" t="s">
        <v>209</v>
      </c>
      <c r="C6" s="46"/>
      <c r="D6" s="46"/>
      <c r="E6" s="46"/>
      <c r="F6" s="46"/>
      <c r="G6" s="46"/>
      <c r="H6" s="46"/>
    </row>
    <row r="7" spans="2:8" ht="32.1" customHeight="1" x14ac:dyDescent="0.25">
      <c r="B7" s="4">
        <v>1</v>
      </c>
      <c r="C7" s="5" t="s">
        <v>210</v>
      </c>
      <c r="D7" s="6" t="s">
        <v>67</v>
      </c>
      <c r="E7" s="7" t="s">
        <v>63</v>
      </c>
      <c r="F7" s="8" t="s">
        <v>11</v>
      </c>
      <c r="G7" s="9" t="s">
        <v>64</v>
      </c>
      <c r="H7" s="10" t="s">
        <v>141</v>
      </c>
    </row>
    <row r="8" spans="2:8" ht="32.1" customHeight="1" x14ac:dyDescent="0.25">
      <c r="B8" s="11">
        <v>2</v>
      </c>
      <c r="C8" s="12" t="s">
        <v>211</v>
      </c>
      <c r="D8" s="13" t="s">
        <v>71</v>
      </c>
      <c r="E8" s="16" t="s">
        <v>76</v>
      </c>
      <c r="F8" s="8" t="s">
        <v>11</v>
      </c>
      <c r="G8" s="14" t="s">
        <v>64</v>
      </c>
      <c r="H8" s="15" t="s">
        <v>147</v>
      </c>
    </row>
    <row r="9" spans="2:8" ht="32.1" customHeight="1" x14ac:dyDescent="0.25">
      <c r="B9" s="4">
        <v>3</v>
      </c>
      <c r="C9" s="5" t="s">
        <v>212</v>
      </c>
      <c r="D9" s="6" t="s">
        <v>71</v>
      </c>
      <c r="E9" s="16" t="s">
        <v>76</v>
      </c>
      <c r="F9" s="8" t="s">
        <v>11</v>
      </c>
      <c r="G9" s="9" t="s">
        <v>64</v>
      </c>
      <c r="H9" s="10" t="s">
        <v>147</v>
      </c>
    </row>
    <row r="10" spans="2:8" ht="32.1" customHeight="1" x14ac:dyDescent="0.25">
      <c r="B10" s="11">
        <v>4</v>
      </c>
      <c r="C10" s="12" t="s">
        <v>213</v>
      </c>
      <c r="D10" s="13" t="s">
        <v>67</v>
      </c>
      <c r="E10" s="7" t="s">
        <v>63</v>
      </c>
      <c r="F10" s="8" t="s">
        <v>11</v>
      </c>
      <c r="G10" s="14" t="s">
        <v>64</v>
      </c>
      <c r="H10" s="15" t="s">
        <v>147</v>
      </c>
    </row>
    <row r="11" spans="2:8" ht="32.1" customHeight="1" x14ac:dyDescent="0.25">
      <c r="B11" s="4">
        <v>5</v>
      </c>
      <c r="C11" s="5" t="s">
        <v>214</v>
      </c>
      <c r="D11" s="6" t="s">
        <v>71</v>
      </c>
      <c r="E11" s="16" t="s">
        <v>76</v>
      </c>
      <c r="F11" s="8" t="s">
        <v>11</v>
      </c>
      <c r="G11" s="9" t="s">
        <v>64</v>
      </c>
      <c r="H11" s="10" t="s">
        <v>147</v>
      </c>
    </row>
    <row r="12" spans="2:8" x14ac:dyDescent="0.25">
      <c r="B12" s="17"/>
      <c r="C12" s="18"/>
      <c r="D12" s="17"/>
      <c r="E12" s="17"/>
      <c r="F12" s="17"/>
      <c r="G12" s="18"/>
      <c r="H12" s="17"/>
    </row>
    <row r="13" spans="2:8" ht="20.100000000000001" customHeight="1" x14ac:dyDescent="0.25">
      <c r="B13" s="49" t="s">
        <v>215</v>
      </c>
      <c r="C13" s="50"/>
      <c r="D13" s="51"/>
      <c r="E13" s="51"/>
      <c r="F13" s="51"/>
      <c r="G13" s="50"/>
      <c r="H13" s="51"/>
    </row>
    <row r="14" spans="2:8" ht="32.1" customHeight="1" x14ac:dyDescent="0.25">
      <c r="B14" s="22">
        <v>6</v>
      </c>
      <c r="C14" s="23" t="s">
        <v>216</v>
      </c>
      <c r="D14" s="24" t="s">
        <v>62</v>
      </c>
      <c r="E14" s="22" t="s">
        <v>63</v>
      </c>
      <c r="F14" s="25" t="s">
        <v>11</v>
      </c>
      <c r="G14" s="26" t="s">
        <v>64</v>
      </c>
      <c r="H14" s="27" t="s">
        <v>80</v>
      </c>
    </row>
    <row r="15" spans="2:8" ht="32.1" customHeight="1" x14ac:dyDescent="0.25">
      <c r="B15" s="11">
        <v>7</v>
      </c>
      <c r="C15" s="12" t="s">
        <v>217</v>
      </c>
      <c r="D15" s="13" t="s">
        <v>67</v>
      </c>
      <c r="E15" s="7" t="s">
        <v>63</v>
      </c>
      <c r="F15" s="8" t="s">
        <v>11</v>
      </c>
      <c r="G15" s="14" t="s">
        <v>64</v>
      </c>
      <c r="H15" s="15" t="s">
        <v>80</v>
      </c>
    </row>
    <row r="16" spans="2:8" ht="32.1" customHeight="1" x14ac:dyDescent="0.25">
      <c r="B16" s="4">
        <v>8</v>
      </c>
      <c r="C16" s="5" t="s">
        <v>218</v>
      </c>
      <c r="D16" s="6" t="s">
        <v>62</v>
      </c>
      <c r="E16" s="7" t="s">
        <v>63</v>
      </c>
      <c r="F16" s="8" t="s">
        <v>11</v>
      </c>
      <c r="G16" s="9" t="s">
        <v>64</v>
      </c>
      <c r="H16" s="10" t="s">
        <v>80</v>
      </c>
    </row>
    <row r="17" spans="2:8" ht="32.1" customHeight="1" x14ac:dyDescent="0.25">
      <c r="B17" s="11">
        <v>9</v>
      </c>
      <c r="C17" s="12" t="s">
        <v>219</v>
      </c>
      <c r="D17" s="13" t="s">
        <v>71</v>
      </c>
      <c r="E17" s="16" t="s">
        <v>76</v>
      </c>
      <c r="F17" s="8" t="s">
        <v>40</v>
      </c>
      <c r="G17" s="14" t="s">
        <v>64</v>
      </c>
      <c r="H17" s="15" t="s">
        <v>147</v>
      </c>
    </row>
    <row r="18" spans="2:8" x14ac:dyDescent="0.25">
      <c r="B18" s="17"/>
      <c r="C18" s="18"/>
      <c r="D18" s="17"/>
      <c r="E18" s="17"/>
      <c r="F18" s="17"/>
      <c r="G18" s="18"/>
      <c r="H18" s="17"/>
    </row>
    <row r="19" spans="2:8" ht="20.100000000000001" customHeight="1" x14ac:dyDescent="0.25">
      <c r="B19" s="49" t="s">
        <v>220</v>
      </c>
      <c r="C19" s="50"/>
      <c r="D19" s="51"/>
      <c r="E19" s="51"/>
      <c r="F19" s="51"/>
      <c r="G19" s="50"/>
      <c r="H19" s="51"/>
    </row>
    <row r="20" spans="2:8" ht="32.1" customHeight="1" x14ac:dyDescent="0.25">
      <c r="B20" s="4">
        <v>10</v>
      </c>
      <c r="C20" s="5" t="s">
        <v>221</v>
      </c>
      <c r="D20" s="6" t="s">
        <v>67</v>
      </c>
      <c r="E20" s="7" t="s">
        <v>63</v>
      </c>
      <c r="F20" s="8" t="s">
        <v>40</v>
      </c>
      <c r="G20" s="9" t="s">
        <v>64</v>
      </c>
      <c r="H20" s="10" t="s">
        <v>80</v>
      </c>
    </row>
    <row r="21" spans="2:8" ht="32.1" customHeight="1" x14ac:dyDescent="0.25">
      <c r="B21" s="11">
        <v>11</v>
      </c>
      <c r="C21" s="12" t="s">
        <v>222</v>
      </c>
      <c r="D21" s="13" t="s">
        <v>67</v>
      </c>
      <c r="E21" s="7" t="s">
        <v>63</v>
      </c>
      <c r="F21" s="8" t="s">
        <v>40</v>
      </c>
      <c r="G21" s="14" t="s">
        <v>64</v>
      </c>
      <c r="H21" s="15" t="s">
        <v>80</v>
      </c>
    </row>
    <row r="22" spans="2:8" ht="32.1" customHeight="1" x14ac:dyDescent="0.25">
      <c r="B22" s="4">
        <v>12</v>
      </c>
      <c r="C22" s="5" t="s">
        <v>223</v>
      </c>
      <c r="D22" s="6" t="s">
        <v>71</v>
      </c>
      <c r="E22" s="7" t="s">
        <v>63</v>
      </c>
      <c r="F22" s="8" t="s">
        <v>40</v>
      </c>
      <c r="G22" s="9" t="s">
        <v>64</v>
      </c>
      <c r="H22" s="10" t="s">
        <v>80</v>
      </c>
    </row>
    <row r="23" spans="2:8" ht="32.1" customHeight="1" x14ac:dyDescent="0.25">
      <c r="B23" s="22">
        <v>13</v>
      </c>
      <c r="C23" s="23" t="s">
        <v>224</v>
      </c>
      <c r="D23" s="24" t="s">
        <v>67</v>
      </c>
      <c r="E23" s="22" t="s">
        <v>63</v>
      </c>
      <c r="F23" s="25" t="s">
        <v>40</v>
      </c>
      <c r="G23" s="26" t="s">
        <v>64</v>
      </c>
      <c r="H23" s="27" t="s">
        <v>80</v>
      </c>
    </row>
    <row r="24" spans="2:8" ht="32.1" customHeight="1" x14ac:dyDescent="0.25">
      <c r="B24" s="4">
        <v>14</v>
      </c>
      <c r="C24" s="5" t="s">
        <v>225</v>
      </c>
      <c r="D24" s="6" t="s">
        <v>71</v>
      </c>
      <c r="E24" s="16" t="s">
        <v>76</v>
      </c>
      <c r="F24" s="8" t="s">
        <v>40</v>
      </c>
      <c r="G24" s="9" t="s">
        <v>64</v>
      </c>
      <c r="H24" s="10" t="s">
        <v>147</v>
      </c>
    </row>
    <row r="25" spans="2:8" ht="32.1" customHeight="1" x14ac:dyDescent="0.25">
      <c r="B25" s="11">
        <v>15</v>
      </c>
      <c r="C25" s="12" t="s">
        <v>226</v>
      </c>
      <c r="D25" s="13" t="s">
        <v>71</v>
      </c>
      <c r="E25" s="16" t="s">
        <v>76</v>
      </c>
      <c r="F25" s="8" t="s">
        <v>40</v>
      </c>
      <c r="G25" s="14" t="s">
        <v>64</v>
      </c>
      <c r="H25" s="15" t="s">
        <v>147</v>
      </c>
    </row>
    <row r="26" spans="2:8" ht="32.1" customHeight="1" x14ac:dyDescent="0.25">
      <c r="B26" s="4">
        <v>16</v>
      </c>
      <c r="C26" s="5" t="s">
        <v>227</v>
      </c>
      <c r="D26" s="6" t="s">
        <v>67</v>
      </c>
      <c r="E26" s="16" t="s">
        <v>76</v>
      </c>
      <c r="F26" s="8" t="s">
        <v>40</v>
      </c>
      <c r="G26" s="9" t="s">
        <v>64</v>
      </c>
      <c r="H26" s="10" t="s">
        <v>147</v>
      </c>
    </row>
    <row r="27" spans="2:8" x14ac:dyDescent="0.25">
      <c r="B27" s="20"/>
      <c r="C27" s="21"/>
      <c r="D27" s="20"/>
      <c r="E27" s="20"/>
      <c r="F27" s="20"/>
      <c r="G27" s="21"/>
      <c r="H27" s="20"/>
    </row>
    <row r="28" spans="2:8" ht="20.100000000000001" customHeight="1" x14ac:dyDescent="0.25">
      <c r="B28" s="49" t="s">
        <v>228</v>
      </c>
      <c r="C28" s="50"/>
      <c r="D28" s="51"/>
      <c r="E28" s="51"/>
      <c r="F28" s="51"/>
      <c r="G28" s="50"/>
      <c r="H28" s="51"/>
    </row>
    <row r="29" spans="2:8" ht="32.1" customHeight="1" x14ac:dyDescent="0.25">
      <c r="B29" s="4">
        <v>17</v>
      </c>
      <c r="C29" s="5" t="s">
        <v>229</v>
      </c>
      <c r="D29" s="6" t="s">
        <v>62</v>
      </c>
      <c r="E29" s="7" t="s">
        <v>63</v>
      </c>
      <c r="F29" s="8" t="s">
        <v>40</v>
      </c>
      <c r="G29" s="9" t="s">
        <v>64</v>
      </c>
      <c r="H29" s="10" t="s">
        <v>230</v>
      </c>
    </row>
    <row r="30" spans="2:8" ht="32.1" customHeight="1" x14ac:dyDescent="0.25">
      <c r="B30" s="11">
        <v>18</v>
      </c>
      <c r="C30" s="12" t="s">
        <v>231</v>
      </c>
      <c r="D30" s="13" t="s">
        <v>67</v>
      </c>
      <c r="E30" s="16" t="s">
        <v>76</v>
      </c>
      <c r="F30" s="8" t="s">
        <v>40</v>
      </c>
      <c r="G30" s="14" t="s">
        <v>64</v>
      </c>
      <c r="H30" s="15" t="s">
        <v>147</v>
      </c>
    </row>
    <row r="31" spans="2:8" ht="32.1" customHeight="1" x14ac:dyDescent="0.25">
      <c r="B31" s="4">
        <v>19</v>
      </c>
      <c r="C31" s="5" t="s">
        <v>232</v>
      </c>
      <c r="D31" s="6" t="s">
        <v>71</v>
      </c>
      <c r="E31" s="16" t="s">
        <v>76</v>
      </c>
      <c r="F31" s="8" t="s">
        <v>40</v>
      </c>
      <c r="G31" s="9" t="s">
        <v>64</v>
      </c>
      <c r="H31" s="10" t="s">
        <v>141</v>
      </c>
    </row>
    <row r="32" spans="2:8" ht="32.1" customHeight="1" x14ac:dyDescent="0.25">
      <c r="B32" s="11">
        <v>20</v>
      </c>
      <c r="C32" s="12" t="s">
        <v>233</v>
      </c>
      <c r="D32" s="13" t="s">
        <v>71</v>
      </c>
      <c r="E32" s="16" t="s">
        <v>76</v>
      </c>
      <c r="F32" s="8" t="s">
        <v>40</v>
      </c>
      <c r="G32" s="14" t="s">
        <v>64</v>
      </c>
      <c r="H32" s="15" t="s">
        <v>147</v>
      </c>
    </row>
    <row r="33" spans="2:8" ht="32.1" customHeight="1" x14ac:dyDescent="0.25">
      <c r="B33" s="22">
        <v>21</v>
      </c>
      <c r="C33" s="23" t="s">
        <v>234</v>
      </c>
      <c r="D33" s="24" t="s">
        <v>67</v>
      </c>
      <c r="E33" s="22" t="s">
        <v>63</v>
      </c>
      <c r="F33" s="25" t="s">
        <v>40</v>
      </c>
      <c r="G33" s="26" t="s">
        <v>64</v>
      </c>
      <c r="H33" s="27" t="s">
        <v>182</v>
      </c>
    </row>
    <row r="34" spans="2:8" ht="32.1" customHeight="1" x14ac:dyDescent="0.25">
      <c r="B34" s="11">
        <v>22</v>
      </c>
      <c r="C34" s="12" t="s">
        <v>235</v>
      </c>
      <c r="D34" s="13" t="s">
        <v>71</v>
      </c>
      <c r="E34" s="16" t="s">
        <v>76</v>
      </c>
      <c r="F34" s="8" t="s">
        <v>40</v>
      </c>
      <c r="G34" s="14" t="s">
        <v>64</v>
      </c>
      <c r="H34" s="15" t="s">
        <v>236</v>
      </c>
    </row>
    <row r="35" spans="2:8" ht="32.1" customHeight="1" x14ac:dyDescent="0.25">
      <c r="B35" s="4">
        <v>23</v>
      </c>
      <c r="C35" s="5" t="s">
        <v>237</v>
      </c>
      <c r="D35" s="6" t="s">
        <v>71</v>
      </c>
      <c r="E35" s="19" t="s">
        <v>99</v>
      </c>
      <c r="F35" s="8" t="s">
        <v>40</v>
      </c>
      <c r="G35" s="9" t="s">
        <v>64</v>
      </c>
      <c r="H35" s="10" t="s">
        <v>238</v>
      </c>
    </row>
    <row r="36" spans="2:8" x14ac:dyDescent="0.25">
      <c r="B36" s="17"/>
      <c r="C36" s="18"/>
      <c r="D36" s="17"/>
      <c r="E36" s="17"/>
      <c r="F36" s="17"/>
      <c r="G36" s="18"/>
      <c r="H36" s="17"/>
    </row>
    <row r="37" spans="2:8" x14ac:dyDescent="0.25">
      <c r="B37" s="17"/>
      <c r="C37" s="18"/>
      <c r="D37" s="17"/>
      <c r="E37" s="17"/>
      <c r="F37" s="17"/>
      <c r="G37" s="18"/>
      <c r="H37" s="17"/>
    </row>
    <row r="38" spans="2:8" x14ac:dyDescent="0.25">
      <c r="B38" s="17"/>
      <c r="C38" s="18"/>
      <c r="D38" s="17"/>
      <c r="E38" s="17"/>
      <c r="F38" s="17"/>
      <c r="G38" s="18"/>
      <c r="H38" s="17"/>
    </row>
    <row r="39" spans="2:8" x14ac:dyDescent="0.25">
      <c r="B39" s="17"/>
      <c r="C39" s="18"/>
      <c r="D39" s="17"/>
      <c r="E39" s="17"/>
      <c r="F39" s="17"/>
      <c r="G39" s="18"/>
      <c r="H39" s="17"/>
    </row>
  </sheetData>
  <mergeCells count="6">
    <mergeCell ref="B28:H28"/>
    <mergeCell ref="B13:H13"/>
    <mergeCell ref="B4:H4"/>
    <mergeCell ref="B6:H6"/>
    <mergeCell ref="B2:H2"/>
    <mergeCell ref="B19:H19"/>
  </mergeCells>
  <conditionalFormatting sqref="E7:E39">
    <cfRule type="expression" dxfId="32" priority="8">
      <formula>E7="CRÍTICO"</formula>
    </cfRule>
    <cfRule type="expression" dxfId="31" priority="9">
      <formula>E7="ALTO"</formula>
    </cfRule>
    <cfRule type="expression" dxfId="30" priority="10">
      <formula>E7="MEDIO"</formula>
    </cfRule>
    <cfRule type="expression" dxfId="29" priority="11">
      <formula>E7="BAJO"</formula>
    </cfRule>
  </conditionalFormatting>
  <conditionalFormatting sqref="F6:F37">
    <cfRule type="expression" dxfId="28" priority="1">
      <formula>NOT(ISERROR(SEARCH("CUMPLE",F6)))</formula>
    </cfRule>
    <cfRule type="expression" dxfId="27" priority="2">
      <formula>NOT(ISERROR(SEARCH("NO CUMPLE",F6)))</formula>
    </cfRule>
    <cfRule type="expression" dxfId="26" priority="3">
      <formula>NOT(ISERROR(SEARCH("PENDIENTE",F6)))</formula>
    </cfRule>
  </conditionalFormatting>
  <conditionalFormatting sqref="F7:F39">
    <cfRule type="expression" dxfId="25" priority="4">
      <formula>F7="✓ CUMPLE"</formula>
    </cfRule>
    <cfRule type="expression" dxfId="24" priority="5">
      <formula>F7="⚠ PENDIENTE"</formula>
    </cfRule>
    <cfRule type="expression" dxfId="23" priority="6">
      <formula>F7="✗ NO CUMPLE"</formula>
    </cfRule>
    <cfRule type="expression" dxfId="22" priority="7">
      <formula>F7="N/A"</formula>
    </cfRule>
  </conditionalFormatting>
  <dataValidations count="4">
    <dataValidation type="list" allowBlank="1" sqref="F7 F8 F9 F10 F11 F14 F15 F16 F17 F20 F21 F22 F23 F24 F25 F26 F29 F30 F31 F32 F33 F34 F35" xr:uid="{00000000-0002-0000-0500-000000000000}">
      <formula1>"✓ CUMPLE,⚠ PENDIENTE,✗ NO CUMPLE,N/A"</formula1>
    </dataValidation>
    <dataValidation type="list" sqref="D7:D39" xr:uid="{00000000-0002-0000-0500-000001000000}">
      <formula1>"Jefe Propuesta,Analista 1,Analista 2,Administración,Legal,Finanzas"</formula1>
    </dataValidation>
    <dataValidation type="list" sqref="E7:E39" xr:uid="{00000000-0002-0000-0500-000002000000}">
      <formula1>"CRÍTICO,ALTO,MEDIO,BAJO"</formula1>
    </dataValidation>
    <dataValidation type="list" sqref="F7:F39" xr:uid="{00000000-0002-0000-0500-000003000000}">
      <formula1>"✓ CUMPLE,⚠ PENDIENTE,✗ NO CUMPLE,N/A"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39"/>
  <sheetViews>
    <sheetView showGridLines="0" workbookViewId="0">
      <selection activeCell="N14" sqref="N14"/>
    </sheetView>
  </sheetViews>
  <sheetFormatPr baseColWidth="10" defaultColWidth="9.140625" defaultRowHeight="15" x14ac:dyDescent="0.25"/>
  <cols>
    <col min="1" max="1" width="3" customWidth="1"/>
    <col min="2" max="2" width="7" customWidth="1"/>
    <col min="3" max="3" width="46" customWidth="1"/>
    <col min="4" max="4" width="18" customWidth="1"/>
    <col min="5" max="5" width="13" customWidth="1"/>
    <col min="6" max="6" width="17" customWidth="1"/>
    <col min="7" max="7" width="34" customWidth="1"/>
    <col min="8" max="8" width="18" customWidth="1"/>
  </cols>
  <sheetData>
    <row r="1" spans="2:8" ht="6" customHeight="1" x14ac:dyDescent="0.25"/>
    <row r="2" spans="2:8" ht="27.95" customHeight="1" x14ac:dyDescent="0.25">
      <c r="B2" s="52" t="s">
        <v>29</v>
      </c>
      <c r="C2" s="53"/>
      <c r="D2" s="53"/>
      <c r="E2" s="53"/>
      <c r="F2" s="53"/>
      <c r="G2" s="53"/>
      <c r="H2" s="53"/>
    </row>
    <row r="3" spans="2:8" ht="6" customHeight="1" x14ac:dyDescent="0.25">
      <c r="H3">
        <f>COUNTIF(F6:F500,"✓ CUMPLE")</f>
        <v>0</v>
      </c>
    </row>
    <row r="4" spans="2:8" ht="15.95" customHeight="1" x14ac:dyDescent="0.25">
      <c r="B4" s="47" t="s">
        <v>52</v>
      </c>
      <c r="C4" s="48"/>
      <c r="D4" s="48"/>
      <c r="E4" s="48"/>
      <c r="F4" s="48"/>
      <c r="G4" s="48"/>
      <c r="H4" s="48"/>
    </row>
    <row r="5" spans="2:8" ht="33.950000000000003" customHeight="1" x14ac:dyDescent="0.25"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3" t="s">
        <v>59</v>
      </c>
    </row>
    <row r="6" spans="2:8" ht="20.100000000000001" customHeight="1" x14ac:dyDescent="0.25">
      <c r="B6" s="44" t="s">
        <v>239</v>
      </c>
      <c r="C6" s="46"/>
      <c r="D6" s="46"/>
      <c r="E6" s="46"/>
      <c r="F6" s="46"/>
      <c r="G6" s="46"/>
      <c r="H6" s="46"/>
    </row>
    <row r="7" spans="2:8" ht="32.1" customHeight="1" x14ac:dyDescent="0.25">
      <c r="B7" s="4">
        <v>1</v>
      </c>
      <c r="C7" s="5" t="s">
        <v>240</v>
      </c>
      <c r="D7" s="6" t="s">
        <v>71</v>
      </c>
      <c r="E7" s="7" t="s">
        <v>63</v>
      </c>
      <c r="F7" s="8" t="s">
        <v>40</v>
      </c>
      <c r="G7" s="9" t="s">
        <v>64</v>
      </c>
      <c r="H7" s="10" t="s">
        <v>117</v>
      </c>
    </row>
    <row r="8" spans="2:8" ht="32.1" customHeight="1" x14ac:dyDescent="0.25">
      <c r="B8" s="11">
        <v>2</v>
      </c>
      <c r="C8" s="12" t="s">
        <v>241</v>
      </c>
      <c r="D8" s="13" t="s">
        <v>71</v>
      </c>
      <c r="E8" s="7" t="s">
        <v>63</v>
      </c>
      <c r="F8" s="8" t="s">
        <v>40</v>
      </c>
      <c r="G8" s="14" t="s">
        <v>64</v>
      </c>
      <c r="H8" s="15" t="s">
        <v>117</v>
      </c>
    </row>
    <row r="9" spans="2:8" ht="32.1" customHeight="1" x14ac:dyDescent="0.25">
      <c r="B9" s="4">
        <v>3</v>
      </c>
      <c r="C9" s="5" t="s">
        <v>242</v>
      </c>
      <c r="D9" s="6" t="s">
        <v>67</v>
      </c>
      <c r="E9" s="7" t="s">
        <v>63</v>
      </c>
      <c r="F9" s="8" t="s">
        <v>40</v>
      </c>
      <c r="G9" s="9" t="s">
        <v>64</v>
      </c>
      <c r="H9" s="10" t="s">
        <v>117</v>
      </c>
    </row>
    <row r="10" spans="2:8" ht="32.1" customHeight="1" x14ac:dyDescent="0.25">
      <c r="B10" s="11">
        <v>4</v>
      </c>
      <c r="C10" s="12" t="s">
        <v>243</v>
      </c>
      <c r="D10" s="13" t="s">
        <v>67</v>
      </c>
      <c r="E10" s="16" t="s">
        <v>76</v>
      </c>
      <c r="F10" s="8" t="s">
        <v>40</v>
      </c>
      <c r="G10" s="14" t="s">
        <v>64</v>
      </c>
      <c r="H10" s="15" t="s">
        <v>117</v>
      </c>
    </row>
    <row r="11" spans="2:8" ht="32.1" customHeight="1" x14ac:dyDescent="0.25">
      <c r="B11" s="4">
        <v>5</v>
      </c>
      <c r="C11" s="5" t="s">
        <v>244</v>
      </c>
      <c r="D11" s="6" t="s">
        <v>71</v>
      </c>
      <c r="E11" s="16" t="s">
        <v>76</v>
      </c>
      <c r="F11" s="8" t="s">
        <v>40</v>
      </c>
      <c r="G11" s="9" t="s">
        <v>64</v>
      </c>
      <c r="H11" s="10" t="s">
        <v>117</v>
      </c>
    </row>
    <row r="12" spans="2:8" ht="32.1" customHeight="1" x14ac:dyDescent="0.25">
      <c r="B12" s="11">
        <v>6</v>
      </c>
      <c r="C12" s="12" t="s">
        <v>245</v>
      </c>
      <c r="D12" s="13" t="s">
        <v>67</v>
      </c>
      <c r="E12" s="16" t="s">
        <v>76</v>
      </c>
      <c r="F12" s="8" t="s">
        <v>40</v>
      </c>
      <c r="G12" s="14" t="s">
        <v>64</v>
      </c>
      <c r="H12" s="15" t="s">
        <v>246</v>
      </c>
    </row>
    <row r="13" spans="2:8" x14ac:dyDescent="0.25">
      <c r="B13" s="17"/>
      <c r="C13" s="18"/>
      <c r="D13" s="17"/>
      <c r="E13" s="17"/>
      <c r="F13" s="17"/>
      <c r="G13" s="18"/>
      <c r="H13" s="17"/>
    </row>
    <row r="14" spans="2:8" ht="20.100000000000001" customHeight="1" x14ac:dyDescent="0.25">
      <c r="B14" s="44" t="s">
        <v>247</v>
      </c>
      <c r="C14" s="45"/>
      <c r="D14" s="46"/>
      <c r="E14" s="46"/>
      <c r="F14" s="46"/>
      <c r="G14" s="45"/>
      <c r="H14" s="46"/>
    </row>
    <row r="15" spans="2:8" ht="32.1" customHeight="1" x14ac:dyDescent="0.25">
      <c r="B15" s="4">
        <v>7</v>
      </c>
      <c r="C15" s="5" t="s">
        <v>248</v>
      </c>
      <c r="D15" s="6" t="s">
        <v>67</v>
      </c>
      <c r="E15" s="16" t="s">
        <v>76</v>
      </c>
      <c r="F15" s="8" t="s">
        <v>40</v>
      </c>
      <c r="G15" s="9" t="s">
        <v>64</v>
      </c>
      <c r="H15" s="10" t="s">
        <v>141</v>
      </c>
    </row>
    <row r="16" spans="2:8" ht="32.1" customHeight="1" x14ac:dyDescent="0.25">
      <c r="B16" s="11">
        <v>8</v>
      </c>
      <c r="C16" s="12" t="s">
        <v>249</v>
      </c>
      <c r="D16" s="13" t="s">
        <v>71</v>
      </c>
      <c r="E16" s="19" t="s">
        <v>99</v>
      </c>
      <c r="F16" s="8" t="s">
        <v>40</v>
      </c>
      <c r="G16" s="14" t="s">
        <v>64</v>
      </c>
      <c r="H16" s="15" t="s">
        <v>147</v>
      </c>
    </row>
    <row r="17" spans="2:8" ht="32.1" customHeight="1" x14ac:dyDescent="0.25">
      <c r="B17" s="4">
        <v>9</v>
      </c>
      <c r="C17" s="5" t="s">
        <v>250</v>
      </c>
      <c r="D17" s="6" t="s">
        <v>71</v>
      </c>
      <c r="E17" s="16" t="s">
        <v>76</v>
      </c>
      <c r="F17" s="8" t="s">
        <v>40</v>
      </c>
      <c r="G17" s="9" t="s">
        <v>64</v>
      </c>
      <c r="H17" s="10" t="s">
        <v>238</v>
      </c>
    </row>
    <row r="18" spans="2:8" ht="32.1" customHeight="1" x14ac:dyDescent="0.25">
      <c r="B18" s="11">
        <v>10</v>
      </c>
      <c r="C18" s="12" t="s">
        <v>251</v>
      </c>
      <c r="D18" s="13" t="s">
        <v>67</v>
      </c>
      <c r="E18" s="16" t="s">
        <v>76</v>
      </c>
      <c r="F18" s="8" t="s">
        <v>40</v>
      </c>
      <c r="G18" s="14" t="s">
        <v>64</v>
      </c>
      <c r="H18" s="15" t="s">
        <v>236</v>
      </c>
    </row>
    <row r="19" spans="2:8" ht="32.1" customHeight="1" x14ac:dyDescent="0.25">
      <c r="B19" s="4">
        <v>11</v>
      </c>
      <c r="C19" s="5" t="s">
        <v>252</v>
      </c>
      <c r="D19" s="6" t="s">
        <v>71</v>
      </c>
      <c r="E19" s="19" t="s">
        <v>99</v>
      </c>
      <c r="F19" s="8" t="s">
        <v>40</v>
      </c>
      <c r="G19" s="9" t="s">
        <v>64</v>
      </c>
      <c r="H19" s="10" t="s">
        <v>117</v>
      </c>
    </row>
    <row r="20" spans="2:8" x14ac:dyDescent="0.25">
      <c r="B20" s="17"/>
      <c r="C20" s="18"/>
      <c r="D20" s="17"/>
      <c r="E20" s="17"/>
      <c r="F20" s="17"/>
      <c r="G20" s="18"/>
      <c r="H20" s="17"/>
    </row>
    <row r="21" spans="2:8" ht="20.100000000000001" customHeight="1" x14ac:dyDescent="0.25">
      <c r="B21" s="49" t="s">
        <v>253</v>
      </c>
      <c r="C21" s="50"/>
      <c r="D21" s="51"/>
      <c r="E21" s="51"/>
      <c r="F21" s="51"/>
      <c r="G21" s="50"/>
      <c r="H21" s="51"/>
    </row>
    <row r="22" spans="2:8" ht="32.1" customHeight="1" x14ac:dyDescent="0.25">
      <c r="B22" s="4">
        <v>12</v>
      </c>
      <c r="C22" s="5" t="s">
        <v>254</v>
      </c>
      <c r="D22" s="6" t="s">
        <v>62</v>
      </c>
      <c r="E22" s="7" t="s">
        <v>63</v>
      </c>
      <c r="F22" s="8" t="s">
        <v>40</v>
      </c>
      <c r="G22" s="9" t="s">
        <v>64</v>
      </c>
      <c r="H22" s="10" t="s">
        <v>141</v>
      </c>
    </row>
    <row r="23" spans="2:8" ht="32.1" customHeight="1" x14ac:dyDescent="0.25">
      <c r="B23" s="22">
        <v>13</v>
      </c>
      <c r="C23" s="23" t="s">
        <v>255</v>
      </c>
      <c r="D23" s="24" t="s">
        <v>62</v>
      </c>
      <c r="E23" s="22" t="s">
        <v>63</v>
      </c>
      <c r="F23" s="25" t="s">
        <v>40</v>
      </c>
      <c r="G23" s="26" t="s">
        <v>64</v>
      </c>
      <c r="H23" s="27" t="s">
        <v>256</v>
      </c>
    </row>
    <row r="24" spans="2:8" ht="32.1" customHeight="1" x14ac:dyDescent="0.25">
      <c r="B24" s="4">
        <v>14</v>
      </c>
      <c r="C24" s="5" t="s">
        <v>257</v>
      </c>
      <c r="D24" s="6" t="s">
        <v>67</v>
      </c>
      <c r="E24" s="16" t="s">
        <v>76</v>
      </c>
      <c r="F24" s="8" t="s">
        <v>40</v>
      </c>
      <c r="G24" s="9" t="s">
        <v>64</v>
      </c>
      <c r="H24" s="10" t="s">
        <v>258</v>
      </c>
    </row>
    <row r="25" spans="2:8" ht="32.1" customHeight="1" x14ac:dyDescent="0.25">
      <c r="B25" s="11">
        <v>15</v>
      </c>
      <c r="C25" s="12" t="s">
        <v>259</v>
      </c>
      <c r="D25" s="13" t="s">
        <v>67</v>
      </c>
      <c r="E25" s="7" t="s">
        <v>63</v>
      </c>
      <c r="F25" s="8" t="s">
        <v>40</v>
      </c>
      <c r="G25" s="14" t="s">
        <v>64</v>
      </c>
      <c r="H25" s="15" t="s">
        <v>201</v>
      </c>
    </row>
    <row r="26" spans="2:8" ht="32.1" customHeight="1" x14ac:dyDescent="0.25">
      <c r="B26" s="4">
        <v>16</v>
      </c>
      <c r="C26" s="5" t="s">
        <v>260</v>
      </c>
      <c r="D26" s="6" t="s">
        <v>62</v>
      </c>
      <c r="E26" s="16" t="s">
        <v>76</v>
      </c>
      <c r="F26" s="8" t="s">
        <v>40</v>
      </c>
      <c r="G26" s="9" t="s">
        <v>64</v>
      </c>
      <c r="H26" s="10" t="s">
        <v>261</v>
      </c>
    </row>
    <row r="27" spans="2:8" x14ac:dyDescent="0.25">
      <c r="B27" s="20"/>
      <c r="C27" s="21"/>
      <c r="D27" s="20"/>
      <c r="E27" s="20"/>
      <c r="F27" s="20"/>
      <c r="G27" s="21"/>
      <c r="H27" s="20"/>
    </row>
    <row r="28" spans="2:8" x14ac:dyDescent="0.25">
      <c r="B28" s="17"/>
      <c r="C28" s="18"/>
      <c r="D28" s="17"/>
      <c r="E28" s="17"/>
      <c r="F28" s="17"/>
      <c r="G28" s="18"/>
      <c r="H28" s="17"/>
    </row>
    <row r="29" spans="2:8" x14ac:dyDescent="0.25">
      <c r="B29" s="17"/>
      <c r="C29" s="18"/>
      <c r="D29" s="17"/>
      <c r="E29" s="17"/>
      <c r="F29" s="17"/>
      <c r="G29" s="18"/>
      <c r="H29" s="17"/>
    </row>
    <row r="30" spans="2:8" x14ac:dyDescent="0.25">
      <c r="B30" s="17"/>
      <c r="C30" s="18"/>
      <c r="D30" s="17"/>
      <c r="E30" s="17"/>
      <c r="F30" s="17"/>
      <c r="G30" s="18"/>
      <c r="H30" s="17"/>
    </row>
    <row r="31" spans="2:8" x14ac:dyDescent="0.25">
      <c r="B31" s="17"/>
      <c r="C31" s="18"/>
      <c r="D31" s="17"/>
      <c r="E31" s="17"/>
      <c r="F31" s="17"/>
      <c r="G31" s="18"/>
      <c r="H31" s="17"/>
    </row>
    <row r="32" spans="2:8" x14ac:dyDescent="0.25">
      <c r="B32" s="17"/>
      <c r="C32" s="18"/>
      <c r="D32" s="17"/>
      <c r="E32" s="17"/>
      <c r="F32" s="17"/>
      <c r="G32" s="18"/>
      <c r="H32" s="17"/>
    </row>
    <row r="33" spans="2:8" x14ac:dyDescent="0.25">
      <c r="B33" s="20"/>
      <c r="C33" s="21"/>
      <c r="D33" s="20"/>
      <c r="E33" s="20"/>
      <c r="F33" s="20"/>
      <c r="G33" s="21"/>
      <c r="H33" s="20"/>
    </row>
    <row r="34" spans="2:8" x14ac:dyDescent="0.25">
      <c r="B34" s="17"/>
      <c r="C34" s="18"/>
      <c r="D34" s="17"/>
      <c r="E34" s="17"/>
      <c r="F34" s="17"/>
      <c r="G34" s="18"/>
      <c r="H34" s="17"/>
    </row>
    <row r="35" spans="2:8" x14ac:dyDescent="0.25">
      <c r="B35" s="17"/>
      <c r="C35" s="18"/>
      <c r="D35" s="17"/>
      <c r="E35" s="17"/>
      <c r="F35" s="17"/>
      <c r="G35" s="18"/>
      <c r="H35" s="17"/>
    </row>
    <row r="36" spans="2:8" x14ac:dyDescent="0.25">
      <c r="B36" s="17"/>
      <c r="C36" s="18"/>
      <c r="D36" s="17"/>
      <c r="E36" s="17"/>
      <c r="F36" s="17"/>
      <c r="G36" s="18"/>
      <c r="H36" s="17"/>
    </row>
    <row r="37" spans="2:8" x14ac:dyDescent="0.25">
      <c r="B37" s="17"/>
      <c r="C37" s="18"/>
      <c r="D37" s="17"/>
      <c r="E37" s="17"/>
      <c r="F37" s="17"/>
      <c r="G37" s="18"/>
      <c r="H37" s="17"/>
    </row>
    <row r="38" spans="2:8" x14ac:dyDescent="0.25">
      <c r="B38" s="17"/>
      <c r="C38" s="18"/>
      <c r="D38" s="17"/>
      <c r="E38" s="17"/>
      <c r="F38" s="17"/>
      <c r="G38" s="18"/>
      <c r="H38" s="17"/>
    </row>
    <row r="39" spans="2:8" x14ac:dyDescent="0.25">
      <c r="B39" s="17"/>
      <c r="C39" s="18"/>
      <c r="D39" s="17"/>
      <c r="E39" s="17"/>
      <c r="F39" s="17"/>
      <c r="G39" s="18"/>
      <c r="H39" s="17"/>
    </row>
  </sheetData>
  <mergeCells count="5">
    <mergeCell ref="B14:H14"/>
    <mergeCell ref="B4:H4"/>
    <mergeCell ref="B21:H21"/>
    <mergeCell ref="B6:H6"/>
    <mergeCell ref="B2:H2"/>
  </mergeCells>
  <conditionalFormatting sqref="E7:E39">
    <cfRule type="expression" dxfId="21" priority="8">
      <formula>E7="CRÍTICO"</formula>
    </cfRule>
    <cfRule type="expression" dxfId="20" priority="9">
      <formula>E7="ALTO"</formula>
    </cfRule>
    <cfRule type="expression" dxfId="19" priority="10">
      <formula>E7="MEDIO"</formula>
    </cfRule>
    <cfRule type="expression" dxfId="18" priority="11">
      <formula>E7="BAJO"</formula>
    </cfRule>
  </conditionalFormatting>
  <conditionalFormatting sqref="F6:F28">
    <cfRule type="expression" dxfId="17" priority="1">
      <formula>NOT(ISERROR(SEARCH("CUMPLE",F6)))</formula>
    </cfRule>
    <cfRule type="expression" dxfId="16" priority="2">
      <formula>NOT(ISERROR(SEARCH("NO CUMPLE",F6)))</formula>
    </cfRule>
    <cfRule type="expression" dxfId="15" priority="3">
      <formula>NOT(ISERROR(SEARCH("PENDIENTE",F6)))</formula>
    </cfRule>
  </conditionalFormatting>
  <conditionalFormatting sqref="F7:F39">
    <cfRule type="expression" dxfId="14" priority="4">
      <formula>F7="✓ CUMPLE"</formula>
    </cfRule>
    <cfRule type="expression" dxfId="13" priority="5">
      <formula>F7="⚠ PENDIENTE"</formula>
    </cfRule>
    <cfRule type="expression" dxfId="12" priority="6">
      <formula>F7="✗ NO CUMPLE"</formula>
    </cfRule>
    <cfRule type="expression" dxfId="11" priority="7">
      <formula>F7="N/A"</formula>
    </cfRule>
  </conditionalFormatting>
  <dataValidations count="4">
    <dataValidation type="list" allowBlank="1" sqref="F7 F8 F9 F10 F11 F12 F15 F16 F17 F18 F19 F22 F23 F24 F25 F26" xr:uid="{00000000-0002-0000-0600-000000000000}">
      <formula1>"✓ CUMPLE,⚠ PENDIENTE,✗ NO CUMPLE,N/A"</formula1>
    </dataValidation>
    <dataValidation type="list" sqref="D7:D39" xr:uid="{00000000-0002-0000-0600-000001000000}">
      <formula1>"Jefe Propuesta,Analista 1,Analista 2,Administración,Legal,Finanzas"</formula1>
    </dataValidation>
    <dataValidation type="list" sqref="E7:E39" xr:uid="{00000000-0002-0000-0600-000002000000}">
      <formula1>"CRÍTICO,ALTO,MEDIO,BAJO"</formula1>
    </dataValidation>
    <dataValidation type="list" sqref="F7:F39" xr:uid="{00000000-0002-0000-0600-000003000000}">
      <formula1>"✓ CUMPLE,⚠ PENDIENTE,✗ NO CUMPLE,N/A"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39"/>
  <sheetViews>
    <sheetView showGridLines="0" workbookViewId="0"/>
  </sheetViews>
  <sheetFormatPr baseColWidth="10" defaultColWidth="9.140625" defaultRowHeight="15" x14ac:dyDescent="0.25"/>
  <cols>
    <col min="1" max="1" width="3" customWidth="1"/>
    <col min="2" max="2" width="7" customWidth="1"/>
    <col min="3" max="3" width="46" customWidth="1"/>
    <col min="4" max="4" width="18" customWidth="1"/>
    <col min="5" max="5" width="13" customWidth="1"/>
    <col min="6" max="6" width="17" customWidth="1"/>
    <col min="7" max="7" width="34" customWidth="1"/>
    <col min="8" max="8" width="18" customWidth="1"/>
  </cols>
  <sheetData>
    <row r="1" spans="2:8" ht="6" customHeight="1" x14ac:dyDescent="0.25"/>
    <row r="2" spans="2:8" ht="27.95" customHeight="1" x14ac:dyDescent="0.25">
      <c r="B2" s="52" t="s">
        <v>31</v>
      </c>
      <c r="C2" s="53"/>
      <c r="D2" s="53"/>
      <c r="E2" s="53"/>
      <c r="F2" s="53"/>
      <c r="G2" s="53"/>
      <c r="H2" s="53"/>
    </row>
    <row r="3" spans="2:8" ht="6" customHeight="1" x14ac:dyDescent="0.25">
      <c r="H3">
        <f>COUNTIF(F6:F500,"✓ CUMPLE")</f>
        <v>0</v>
      </c>
    </row>
    <row r="4" spans="2:8" ht="15.95" customHeight="1" x14ac:dyDescent="0.25">
      <c r="B4" s="47" t="s">
        <v>52</v>
      </c>
      <c r="C4" s="48"/>
      <c r="D4" s="48"/>
      <c r="E4" s="48"/>
      <c r="F4" s="48"/>
      <c r="G4" s="48"/>
      <c r="H4" s="48"/>
    </row>
    <row r="5" spans="2:8" ht="33.950000000000003" customHeight="1" x14ac:dyDescent="0.25">
      <c r="B5" s="3" t="s">
        <v>53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  <c r="H5" s="3" t="s">
        <v>59</v>
      </c>
    </row>
    <row r="6" spans="2:8" ht="20.100000000000001" customHeight="1" x14ac:dyDescent="0.25">
      <c r="B6" s="44" t="s">
        <v>262</v>
      </c>
      <c r="C6" s="46"/>
      <c r="D6" s="46"/>
      <c r="E6" s="46"/>
      <c r="F6" s="46"/>
      <c r="G6" s="46"/>
      <c r="H6" s="46"/>
    </row>
    <row r="7" spans="2:8" ht="32.1" customHeight="1" x14ac:dyDescent="0.25">
      <c r="B7" s="4">
        <v>1</v>
      </c>
      <c r="C7" s="5" t="s">
        <v>263</v>
      </c>
      <c r="D7" s="6" t="s">
        <v>62</v>
      </c>
      <c r="E7" s="7" t="s">
        <v>63</v>
      </c>
      <c r="F7" s="8" t="s">
        <v>40</v>
      </c>
      <c r="G7" s="9" t="s">
        <v>64</v>
      </c>
      <c r="H7" s="10" t="s">
        <v>264</v>
      </c>
    </row>
    <row r="8" spans="2:8" ht="32.1" customHeight="1" x14ac:dyDescent="0.25">
      <c r="B8" s="11">
        <v>2</v>
      </c>
      <c r="C8" s="12" t="s">
        <v>265</v>
      </c>
      <c r="D8" s="13" t="s">
        <v>67</v>
      </c>
      <c r="E8" s="7" t="s">
        <v>63</v>
      </c>
      <c r="F8" s="8" t="s">
        <v>40</v>
      </c>
      <c r="G8" s="14" t="s">
        <v>64</v>
      </c>
      <c r="H8" s="15" t="s">
        <v>264</v>
      </c>
    </row>
    <row r="9" spans="2:8" ht="32.1" customHeight="1" x14ac:dyDescent="0.25">
      <c r="B9" s="4">
        <v>3</v>
      </c>
      <c r="C9" s="5" t="s">
        <v>266</v>
      </c>
      <c r="D9" s="6" t="s">
        <v>67</v>
      </c>
      <c r="E9" s="7" t="s">
        <v>63</v>
      </c>
      <c r="F9" s="8" t="s">
        <v>40</v>
      </c>
      <c r="G9" s="9" t="s">
        <v>64</v>
      </c>
      <c r="H9" s="10" t="s">
        <v>264</v>
      </c>
    </row>
    <row r="10" spans="2:8" ht="32.1" customHeight="1" x14ac:dyDescent="0.25">
      <c r="B10" s="11">
        <v>4</v>
      </c>
      <c r="C10" s="12" t="s">
        <v>267</v>
      </c>
      <c r="D10" s="13" t="s">
        <v>67</v>
      </c>
      <c r="E10" s="7" t="s">
        <v>63</v>
      </c>
      <c r="F10" s="8" t="s">
        <v>40</v>
      </c>
      <c r="G10" s="14" t="s">
        <v>64</v>
      </c>
      <c r="H10" s="15" t="s">
        <v>264</v>
      </c>
    </row>
    <row r="11" spans="2:8" ht="32.1" customHeight="1" x14ac:dyDescent="0.25">
      <c r="B11" s="4">
        <v>5</v>
      </c>
      <c r="C11" s="5" t="s">
        <v>268</v>
      </c>
      <c r="D11" s="6" t="s">
        <v>62</v>
      </c>
      <c r="E11" s="7" t="s">
        <v>63</v>
      </c>
      <c r="F11" s="8" t="s">
        <v>40</v>
      </c>
      <c r="G11" s="9" t="s">
        <v>64</v>
      </c>
      <c r="H11" s="10" t="s">
        <v>264</v>
      </c>
    </row>
    <row r="12" spans="2:8" ht="32.1" customHeight="1" x14ac:dyDescent="0.25">
      <c r="B12" s="11">
        <v>6</v>
      </c>
      <c r="C12" s="12" t="s">
        <v>269</v>
      </c>
      <c r="D12" s="13" t="s">
        <v>71</v>
      </c>
      <c r="E12" s="7" t="s">
        <v>63</v>
      </c>
      <c r="F12" s="8" t="s">
        <v>40</v>
      </c>
      <c r="G12" s="14" t="s">
        <v>64</v>
      </c>
      <c r="H12" s="15" t="s">
        <v>264</v>
      </c>
    </row>
    <row r="13" spans="2:8" x14ac:dyDescent="0.25">
      <c r="B13" s="17"/>
      <c r="C13" s="18"/>
      <c r="D13" s="17"/>
      <c r="E13" s="17"/>
      <c r="F13" s="17"/>
      <c r="G13" s="18"/>
      <c r="H13" s="17"/>
    </row>
    <row r="14" spans="2:8" ht="20.100000000000001" customHeight="1" x14ac:dyDescent="0.25">
      <c r="B14" s="44" t="s">
        <v>270</v>
      </c>
      <c r="C14" s="45"/>
      <c r="D14" s="46"/>
      <c r="E14" s="46"/>
      <c r="F14" s="46"/>
      <c r="G14" s="45"/>
      <c r="H14" s="46"/>
    </row>
    <row r="15" spans="2:8" ht="32.1" customHeight="1" x14ac:dyDescent="0.25">
      <c r="B15" s="4">
        <v>7</v>
      </c>
      <c r="C15" s="5" t="s">
        <v>271</v>
      </c>
      <c r="D15" s="6" t="s">
        <v>71</v>
      </c>
      <c r="E15" s="7" t="s">
        <v>63</v>
      </c>
      <c r="F15" s="8" t="s">
        <v>40</v>
      </c>
      <c r="G15" s="9" t="s">
        <v>64</v>
      </c>
      <c r="H15" s="10" t="s">
        <v>272</v>
      </c>
    </row>
    <row r="16" spans="2:8" ht="32.1" customHeight="1" x14ac:dyDescent="0.25">
      <c r="B16" s="11">
        <v>8</v>
      </c>
      <c r="C16" s="12" t="s">
        <v>273</v>
      </c>
      <c r="D16" s="13" t="s">
        <v>62</v>
      </c>
      <c r="E16" s="7" t="s">
        <v>63</v>
      </c>
      <c r="F16" s="8" t="s">
        <v>40</v>
      </c>
      <c r="G16" s="14" t="s">
        <v>64</v>
      </c>
      <c r="H16" s="15" t="s">
        <v>272</v>
      </c>
    </row>
    <row r="17" spans="2:8" ht="32.1" customHeight="1" x14ac:dyDescent="0.25">
      <c r="B17" s="4">
        <v>9</v>
      </c>
      <c r="C17" s="5" t="s">
        <v>274</v>
      </c>
      <c r="D17" s="6" t="s">
        <v>62</v>
      </c>
      <c r="E17" s="7" t="s">
        <v>63</v>
      </c>
      <c r="F17" s="8" t="s">
        <v>40</v>
      </c>
      <c r="G17" s="9" t="s">
        <v>64</v>
      </c>
      <c r="H17" s="10" t="s">
        <v>272</v>
      </c>
    </row>
    <row r="18" spans="2:8" ht="32.1" customHeight="1" x14ac:dyDescent="0.25">
      <c r="B18" s="11">
        <v>10</v>
      </c>
      <c r="C18" s="12" t="s">
        <v>275</v>
      </c>
      <c r="D18" s="13" t="s">
        <v>71</v>
      </c>
      <c r="E18" s="7" t="s">
        <v>63</v>
      </c>
      <c r="F18" s="8" t="s">
        <v>40</v>
      </c>
      <c r="G18" s="14" t="s">
        <v>64</v>
      </c>
      <c r="H18" s="15" t="s">
        <v>272</v>
      </c>
    </row>
    <row r="19" spans="2:8" ht="32.1" customHeight="1" x14ac:dyDescent="0.25">
      <c r="B19" s="4">
        <v>11</v>
      </c>
      <c r="C19" s="5" t="s">
        <v>276</v>
      </c>
      <c r="D19" s="6" t="s">
        <v>67</v>
      </c>
      <c r="E19" s="7" t="s">
        <v>63</v>
      </c>
      <c r="F19" s="8" t="s">
        <v>40</v>
      </c>
      <c r="G19" s="9" t="s">
        <v>64</v>
      </c>
      <c r="H19" s="10" t="s">
        <v>272</v>
      </c>
    </row>
    <row r="20" spans="2:8" ht="32.1" customHeight="1" x14ac:dyDescent="0.25">
      <c r="B20" s="11">
        <v>12</v>
      </c>
      <c r="C20" s="12" t="s">
        <v>277</v>
      </c>
      <c r="D20" s="13" t="s">
        <v>67</v>
      </c>
      <c r="E20" s="16" t="s">
        <v>76</v>
      </c>
      <c r="F20" s="8" t="s">
        <v>40</v>
      </c>
      <c r="G20" s="14" t="s">
        <v>64</v>
      </c>
      <c r="H20" s="15" t="s">
        <v>272</v>
      </c>
    </row>
    <row r="21" spans="2:8" x14ac:dyDescent="0.25">
      <c r="B21" s="17"/>
      <c r="C21" s="18"/>
      <c r="D21" s="17"/>
      <c r="E21" s="17"/>
      <c r="F21" s="17"/>
      <c r="G21" s="18"/>
      <c r="H21" s="17"/>
    </row>
    <row r="22" spans="2:8" ht="20.100000000000001" customHeight="1" x14ac:dyDescent="0.25">
      <c r="B22" s="49" t="s">
        <v>278</v>
      </c>
      <c r="C22" s="50"/>
      <c r="D22" s="51"/>
      <c r="E22" s="51"/>
      <c r="F22" s="51"/>
      <c r="G22" s="50"/>
      <c r="H22" s="51"/>
    </row>
    <row r="23" spans="2:8" ht="32.1" customHeight="1" x14ac:dyDescent="0.25">
      <c r="B23" s="22">
        <v>13</v>
      </c>
      <c r="C23" s="23" t="s">
        <v>279</v>
      </c>
      <c r="D23" s="24" t="s">
        <v>62</v>
      </c>
      <c r="E23" s="22" t="s">
        <v>63</v>
      </c>
      <c r="F23" s="25" t="s">
        <v>40</v>
      </c>
      <c r="G23" s="26" t="s">
        <v>64</v>
      </c>
      <c r="H23" s="27" t="s">
        <v>280</v>
      </c>
    </row>
    <row r="24" spans="2:8" ht="32.1" customHeight="1" x14ac:dyDescent="0.25">
      <c r="B24" s="11">
        <v>14</v>
      </c>
      <c r="C24" s="12" t="s">
        <v>281</v>
      </c>
      <c r="D24" s="13" t="s">
        <v>67</v>
      </c>
      <c r="E24" s="16" t="s">
        <v>76</v>
      </c>
      <c r="F24" s="8" t="s">
        <v>40</v>
      </c>
      <c r="G24" s="14" t="s">
        <v>64</v>
      </c>
      <c r="H24" s="15" t="s">
        <v>280</v>
      </c>
    </row>
    <row r="25" spans="2:8" ht="32.1" customHeight="1" x14ac:dyDescent="0.25">
      <c r="B25" s="4">
        <v>15</v>
      </c>
      <c r="C25" s="5" t="s">
        <v>282</v>
      </c>
      <c r="D25" s="6" t="s">
        <v>67</v>
      </c>
      <c r="E25" s="7" t="s">
        <v>63</v>
      </c>
      <c r="F25" s="8" t="s">
        <v>40</v>
      </c>
      <c r="G25" s="9" t="s">
        <v>64</v>
      </c>
      <c r="H25" s="10" t="s">
        <v>280</v>
      </c>
    </row>
    <row r="26" spans="2:8" ht="32.1" customHeight="1" x14ac:dyDescent="0.25">
      <c r="B26" s="11">
        <v>16</v>
      </c>
      <c r="C26" s="12" t="s">
        <v>283</v>
      </c>
      <c r="D26" s="13" t="s">
        <v>62</v>
      </c>
      <c r="E26" s="16" t="s">
        <v>76</v>
      </c>
      <c r="F26" s="8" t="s">
        <v>40</v>
      </c>
      <c r="G26" s="14" t="s">
        <v>64</v>
      </c>
      <c r="H26" s="15" t="s">
        <v>284</v>
      </c>
    </row>
    <row r="27" spans="2:8" ht="32.1" customHeight="1" x14ac:dyDescent="0.25">
      <c r="B27" s="22">
        <v>17</v>
      </c>
      <c r="C27" s="23" t="s">
        <v>285</v>
      </c>
      <c r="D27" s="24" t="s">
        <v>71</v>
      </c>
      <c r="E27" s="22" t="s">
        <v>99</v>
      </c>
      <c r="F27" s="25" t="s">
        <v>40</v>
      </c>
      <c r="G27" s="26" t="s">
        <v>64</v>
      </c>
      <c r="H27" s="27" t="s">
        <v>284</v>
      </c>
    </row>
    <row r="28" spans="2:8" x14ac:dyDescent="0.25">
      <c r="B28" s="17"/>
      <c r="C28" s="18"/>
      <c r="D28" s="17"/>
      <c r="E28" s="17"/>
      <c r="F28" s="17"/>
      <c r="G28" s="18"/>
      <c r="H28" s="17"/>
    </row>
    <row r="29" spans="2:8" ht="20.100000000000001" customHeight="1" x14ac:dyDescent="0.25">
      <c r="B29" s="49" t="s">
        <v>286</v>
      </c>
      <c r="C29" s="50"/>
      <c r="D29" s="51"/>
      <c r="E29" s="51"/>
      <c r="F29" s="51"/>
      <c r="G29" s="50"/>
      <c r="H29" s="51"/>
    </row>
    <row r="30" spans="2:8" ht="32.1" customHeight="1" x14ac:dyDescent="0.25">
      <c r="B30" s="4">
        <v>18</v>
      </c>
      <c r="C30" s="5" t="s">
        <v>287</v>
      </c>
      <c r="D30" s="6" t="s">
        <v>71</v>
      </c>
      <c r="E30" s="16" t="s">
        <v>76</v>
      </c>
      <c r="F30" s="8" t="s">
        <v>40</v>
      </c>
      <c r="G30" s="9" t="s">
        <v>64</v>
      </c>
      <c r="H30" s="10" t="s">
        <v>201</v>
      </c>
    </row>
    <row r="31" spans="2:8" ht="32.1" customHeight="1" x14ac:dyDescent="0.25">
      <c r="B31" s="11">
        <v>19</v>
      </c>
      <c r="C31" s="12" t="s">
        <v>288</v>
      </c>
      <c r="D31" s="13" t="s">
        <v>62</v>
      </c>
      <c r="E31" s="16" t="s">
        <v>76</v>
      </c>
      <c r="F31" s="8" t="s">
        <v>40</v>
      </c>
      <c r="G31" s="14" t="s">
        <v>64</v>
      </c>
      <c r="H31" s="15" t="s">
        <v>289</v>
      </c>
    </row>
    <row r="32" spans="2:8" ht="32.1" customHeight="1" x14ac:dyDescent="0.25">
      <c r="B32" s="4">
        <v>20</v>
      </c>
      <c r="C32" s="5" t="s">
        <v>290</v>
      </c>
      <c r="D32" s="6" t="s">
        <v>62</v>
      </c>
      <c r="E32" s="19" t="s">
        <v>99</v>
      </c>
      <c r="F32" s="8" t="s">
        <v>40</v>
      </c>
      <c r="G32" s="9" t="s">
        <v>64</v>
      </c>
      <c r="H32" s="10" t="s">
        <v>92</v>
      </c>
    </row>
    <row r="33" spans="2:8" ht="32.1" customHeight="1" x14ac:dyDescent="0.25">
      <c r="B33" s="22">
        <v>21</v>
      </c>
      <c r="C33" s="23" t="s">
        <v>291</v>
      </c>
      <c r="D33" s="24" t="s">
        <v>62</v>
      </c>
      <c r="E33" s="22" t="s">
        <v>99</v>
      </c>
      <c r="F33" s="25" t="s">
        <v>40</v>
      </c>
      <c r="G33" s="26" t="s">
        <v>64</v>
      </c>
      <c r="H33" s="27" t="s">
        <v>292</v>
      </c>
    </row>
    <row r="34" spans="2:8" ht="32.1" customHeight="1" x14ac:dyDescent="0.25">
      <c r="B34" s="4">
        <v>22</v>
      </c>
      <c r="C34" s="5" t="s">
        <v>293</v>
      </c>
      <c r="D34" s="6" t="s">
        <v>67</v>
      </c>
      <c r="E34" s="19" t="s">
        <v>99</v>
      </c>
      <c r="F34" s="8" t="s">
        <v>40</v>
      </c>
      <c r="G34" s="9" t="s">
        <v>64</v>
      </c>
      <c r="H34" s="10" t="s">
        <v>201</v>
      </c>
    </row>
    <row r="35" spans="2:8" x14ac:dyDescent="0.25">
      <c r="B35" s="17"/>
      <c r="C35" s="18"/>
      <c r="D35" s="17"/>
      <c r="E35" s="17"/>
      <c r="F35" s="17"/>
      <c r="G35" s="18"/>
      <c r="H35" s="17"/>
    </row>
    <row r="36" spans="2:8" x14ac:dyDescent="0.25">
      <c r="B36" s="17"/>
      <c r="C36" s="18"/>
      <c r="D36" s="17"/>
      <c r="E36" s="17"/>
      <c r="F36" s="17"/>
      <c r="G36" s="18"/>
      <c r="H36" s="17"/>
    </row>
    <row r="37" spans="2:8" x14ac:dyDescent="0.25">
      <c r="B37" s="17"/>
      <c r="C37" s="18"/>
      <c r="D37" s="17"/>
      <c r="E37" s="17"/>
      <c r="F37" s="17"/>
      <c r="G37" s="18"/>
      <c r="H37" s="17"/>
    </row>
    <row r="38" spans="2:8" x14ac:dyDescent="0.25">
      <c r="B38" s="17"/>
      <c r="C38" s="18"/>
      <c r="D38" s="17"/>
      <c r="E38" s="17"/>
      <c r="F38" s="17"/>
      <c r="G38" s="18"/>
      <c r="H38" s="17"/>
    </row>
    <row r="39" spans="2:8" x14ac:dyDescent="0.25">
      <c r="B39" s="17"/>
      <c r="C39" s="18"/>
      <c r="D39" s="17"/>
      <c r="E39" s="17"/>
      <c r="F39" s="17"/>
      <c r="G39" s="18"/>
      <c r="H39" s="17"/>
    </row>
  </sheetData>
  <mergeCells count="6">
    <mergeCell ref="B2:H2"/>
    <mergeCell ref="B29:H29"/>
    <mergeCell ref="B22:H22"/>
    <mergeCell ref="B14:H14"/>
    <mergeCell ref="B4:H4"/>
    <mergeCell ref="B6:H6"/>
  </mergeCells>
  <conditionalFormatting sqref="E7:E39">
    <cfRule type="expression" dxfId="10" priority="8">
      <formula>E7="CRÍTICO"</formula>
    </cfRule>
    <cfRule type="expression" dxfId="9" priority="9">
      <formula>E7="ALTO"</formula>
    </cfRule>
    <cfRule type="expression" dxfId="8" priority="10">
      <formula>E7="MEDIO"</formula>
    </cfRule>
    <cfRule type="expression" dxfId="7" priority="11">
      <formula>E7="BAJO"</formula>
    </cfRule>
  </conditionalFormatting>
  <conditionalFormatting sqref="F6:F36">
    <cfRule type="expression" dxfId="6" priority="1">
      <formula>NOT(ISERROR(SEARCH("CUMPLE",F6)))</formula>
    </cfRule>
    <cfRule type="expression" dxfId="5" priority="2">
      <formula>NOT(ISERROR(SEARCH("NO CUMPLE",F6)))</formula>
    </cfRule>
    <cfRule type="expression" dxfId="4" priority="3">
      <formula>NOT(ISERROR(SEARCH("PENDIENTE",F6)))</formula>
    </cfRule>
  </conditionalFormatting>
  <conditionalFormatting sqref="F7:F39">
    <cfRule type="expression" dxfId="3" priority="4">
      <formula>F7="✓ CUMPLE"</formula>
    </cfRule>
    <cfRule type="expression" dxfId="2" priority="5">
      <formula>F7="⚠ PENDIENTE"</formula>
    </cfRule>
    <cfRule type="expression" dxfId="1" priority="6">
      <formula>F7="✗ NO CUMPLE"</formula>
    </cfRule>
    <cfRule type="expression" dxfId="0" priority="7">
      <formula>F7="N/A"</formula>
    </cfRule>
  </conditionalFormatting>
  <dataValidations count="4">
    <dataValidation type="list" allowBlank="1" sqref="F7 F8 F9 F10 F11 F12 F15 F16 F17 F18 F19 F20 F23 F24 F25 F26 F27 F30 F31 F32 F33 F34" xr:uid="{00000000-0002-0000-0700-000000000000}">
      <formula1>"✓ CUMPLE,⚠ PENDIENTE,✗ NO CUMPLE,N/A"</formula1>
    </dataValidation>
    <dataValidation type="list" sqref="D7:D39" xr:uid="{00000000-0002-0000-0700-000001000000}">
      <formula1>"Jefe Propuesta,Analista 1,Analista 2,Administración,Legal,Finanzas"</formula1>
    </dataValidation>
    <dataValidation type="list" sqref="E7:E39" xr:uid="{00000000-0002-0000-0700-000002000000}">
      <formula1>"CRÍTICO,ALTO,MEDIO,BAJO"</formula1>
    </dataValidation>
    <dataValidation type="list" sqref="F7:F39" xr:uid="{00000000-0002-0000-0700-000003000000}">
      <formula1>"✓ CUMPLE,⚠ PENDIENTE,✗ NO CUMPLE,N/A"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workbookViewId="0">
      <selection activeCell="E10" sqref="E10"/>
    </sheetView>
  </sheetViews>
  <sheetFormatPr baseColWidth="10" defaultColWidth="9.140625" defaultRowHeight="15" x14ac:dyDescent="0.25"/>
  <cols>
    <col min="1" max="1" width="12" customWidth="1"/>
    <col min="2" max="2" width="9.28515625" customWidth="1"/>
    <col min="3" max="3" width="16.5703125" customWidth="1"/>
    <col min="4" max="4" width="42" customWidth="1"/>
  </cols>
  <sheetData>
    <row r="1" spans="1:4" x14ac:dyDescent="0.25">
      <c r="A1" s="1" t="s">
        <v>57</v>
      </c>
      <c r="B1" s="1" t="s">
        <v>56</v>
      </c>
      <c r="C1" s="1" t="s">
        <v>55</v>
      </c>
      <c r="D1" s="1" t="s">
        <v>294</v>
      </c>
    </row>
    <row r="2" spans="1:4" ht="30" x14ac:dyDescent="0.25">
      <c r="A2" t="s">
        <v>11</v>
      </c>
      <c r="B2" t="s">
        <v>63</v>
      </c>
      <c r="C2" t="s">
        <v>300</v>
      </c>
      <c r="D2" s="2" t="s">
        <v>295</v>
      </c>
    </row>
    <row r="3" spans="1:4" x14ac:dyDescent="0.25">
      <c r="A3" t="s">
        <v>40</v>
      </c>
      <c r="B3" t="s">
        <v>76</v>
      </c>
      <c r="C3" t="s">
        <v>301</v>
      </c>
    </row>
    <row r="4" spans="1:4" x14ac:dyDescent="0.25">
      <c r="A4" t="s">
        <v>13</v>
      </c>
      <c r="B4" t="s">
        <v>99</v>
      </c>
      <c r="C4" t="s">
        <v>302</v>
      </c>
    </row>
    <row r="5" spans="1:4" x14ac:dyDescent="0.25">
      <c r="A5" t="s">
        <v>14</v>
      </c>
      <c r="B5" t="s">
        <v>296</v>
      </c>
      <c r="C5" t="s">
        <v>297</v>
      </c>
    </row>
    <row r="6" spans="1:4" x14ac:dyDescent="0.25">
      <c r="C6" t="s">
        <v>298</v>
      </c>
    </row>
    <row r="7" spans="1:4" x14ac:dyDescent="0.25">
      <c r="C7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PANEL</vt:lpstr>
      <vt:lpstr>BASES</vt:lpstr>
      <vt:lpstr>PERSONAL</vt:lpstr>
      <vt:lpstr>METODOLOGIA</vt:lpstr>
      <vt:lpstr>ECONOMICA</vt:lpstr>
      <vt:lpstr>DOCUMENTAL</vt:lpstr>
      <vt:lpstr>CALIDAD</vt:lpstr>
      <vt:lpstr>CIERRE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cristobal Gonzalez</cp:lastModifiedBy>
  <dcterms:modified xsi:type="dcterms:W3CDTF">2026-05-22T21:00:26Z</dcterms:modified>
</cp:coreProperties>
</file>