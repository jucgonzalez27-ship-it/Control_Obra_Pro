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cgon\Desktop\"/>
    </mc:Choice>
  </mc:AlternateContent>
  <xr:revisionPtr revIDLastSave="0" documentId="13_ncr:1_{8F89C451-4A00-4EAB-9C1B-F8574E271E57}" xr6:coauthVersionLast="47" xr6:coauthVersionMax="47" xr10:uidLastSave="{00000000-0000-0000-0000-000000000000}"/>
  <bookViews>
    <workbookView xWindow="-120" yWindow="-120" windowWidth="29040" windowHeight="15840" activeTab="2" xr2:uid="{E59A54A4-A0F5-47C1-9341-822CF403F8AC}"/>
  </bookViews>
  <sheets>
    <sheet name="RESUMEN" sheetId="1" r:id="rId1"/>
    <sheet name="GF" sheetId="2" r:id="rId2"/>
    <sheet name="Hoja1" sheetId="5" r:id="rId3"/>
    <sheet name="supermercado" sheetId="3" r:id="rId4"/>
    <sheet name="Hoja2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5" l="1"/>
  <c r="C19" i="1"/>
  <c r="D32" i="2"/>
  <c r="C22" i="2"/>
  <c r="C17" i="1"/>
  <c r="L19" i="2"/>
  <c r="D15" i="1" s="1"/>
  <c r="D13" i="1"/>
  <c r="O19" i="2"/>
  <c r="I19" i="2"/>
  <c r="D14" i="1" s="1"/>
  <c r="D12" i="1"/>
  <c r="F19" i="2"/>
  <c r="D11" i="1"/>
  <c r="C22" i="3"/>
  <c r="C5" i="1"/>
  <c r="C19" i="2"/>
  <c r="D10" i="1" s="1"/>
  <c r="D16" i="1" l="1"/>
  <c r="E10" i="1"/>
  <c r="E11" i="1"/>
  <c r="E12" i="1"/>
  <c r="E13" i="1"/>
  <c r="E14" i="1"/>
  <c r="E15" i="1"/>
  <c r="E9" i="1"/>
  <c r="C16" i="1"/>
  <c r="E16" i="1" l="1"/>
  <c r="C18" i="1" s="1"/>
</calcChain>
</file>

<file path=xl/sharedStrings.xml><?xml version="1.0" encoding="utf-8"?>
<sst xmlns="http://schemas.openxmlformats.org/spreadsheetml/2006/main" count="98" uniqueCount="66">
  <si>
    <t>ITEM</t>
  </si>
  <si>
    <t>PRESUPUESTO</t>
  </si>
  <si>
    <t>GASTO REAL</t>
  </si>
  <si>
    <t xml:space="preserve">DIFERENCIA </t>
  </si>
  <si>
    <t>AHORRO</t>
  </si>
  <si>
    <t>SUPERMERCADO</t>
  </si>
  <si>
    <t>NIÑOS</t>
  </si>
  <si>
    <t>SALUD</t>
  </si>
  <si>
    <t>PROVISIONES</t>
  </si>
  <si>
    <t xml:space="preserve">PERSONALES </t>
  </si>
  <si>
    <t>TOTAL</t>
  </si>
  <si>
    <t>GASTOS FIJOS</t>
  </si>
  <si>
    <t>ROCIO</t>
  </si>
  <si>
    <t>CRISTOBAL</t>
  </si>
  <si>
    <t xml:space="preserve">TOTAL  </t>
  </si>
  <si>
    <t>INGRESOS</t>
  </si>
  <si>
    <t>ARRIENDO</t>
  </si>
  <si>
    <t>GASTO COMUN</t>
  </si>
  <si>
    <t>LUZ</t>
  </si>
  <si>
    <t>AGUA</t>
  </si>
  <si>
    <t xml:space="preserve">GAS </t>
  </si>
  <si>
    <t>PLAN CRISTOBAL</t>
  </si>
  <si>
    <t>PLAN ROCIO</t>
  </si>
  <si>
    <t>CHAT GPT</t>
  </si>
  <si>
    <t>NETFLIX</t>
  </si>
  <si>
    <t>SPOTIFY</t>
  </si>
  <si>
    <t>BENCINA</t>
  </si>
  <si>
    <t>MICRO</t>
  </si>
  <si>
    <t>PASAJES MAMA</t>
  </si>
  <si>
    <t>COMIDA Y ARENA G</t>
  </si>
  <si>
    <t>GASTO</t>
  </si>
  <si>
    <t>item</t>
  </si>
  <si>
    <t>valor</t>
  </si>
  <si>
    <t>feria</t>
  </si>
  <si>
    <t>ganga</t>
  </si>
  <si>
    <t>jumbo</t>
  </si>
  <si>
    <t>papa johns</t>
  </si>
  <si>
    <t>huevos</t>
  </si>
  <si>
    <t>lider</t>
  </si>
  <si>
    <t xml:space="preserve">feria </t>
  </si>
  <si>
    <t>total</t>
  </si>
  <si>
    <t>verluys</t>
  </si>
  <si>
    <t xml:space="preserve">vacaciones </t>
  </si>
  <si>
    <t>INTERNET</t>
  </si>
  <si>
    <t>ITEM NIÑOS</t>
  </si>
  <si>
    <t>ITEM PROVISIONES</t>
  </si>
  <si>
    <t>ITEM FIJOS</t>
  </si>
  <si>
    <t>GASTOS</t>
  </si>
  <si>
    <t>PERSONALES</t>
  </si>
  <si>
    <t>MONTO</t>
  </si>
  <si>
    <t>Vacaciones → 700.000</t>
  </si>
  <si>
    <t>Matrícula colegio → 900.000</t>
  </si>
  <si>
    <t>Útiles → 100.000</t>
  </si>
  <si>
    <t>Ropa colegio → 100.000</t>
  </si>
  <si>
    <t>Pascua → 30.000</t>
  </si>
  <si>
    <t>Cumpleaños varios → según calendario (Emma, Rocío, mamá, papá, suegro, Martín, abuelo)</t>
  </si>
  <si>
    <t>Navidad + Año Nuevo → 400.000</t>
  </si>
  <si>
    <t>pedido</t>
  </si>
  <si>
    <t>DIFERENCIA</t>
  </si>
  <si>
    <t>TOTAL S+G</t>
  </si>
  <si>
    <t>ok</t>
  </si>
  <si>
    <t>hierba</t>
  </si>
  <si>
    <t>tete</t>
  </si>
  <si>
    <t>ropa colegio</t>
  </si>
  <si>
    <t>pijama hijo</t>
  </si>
  <si>
    <t>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</si>
</sst>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4" xfId="1" applyFont="1" applyBorder="1"/>
    <xf numFmtId="0" fontId="0" fillId="0" borderId="5" xfId="0" applyBorder="1"/>
    <xf numFmtId="164" fontId="0" fillId="0" borderId="6" xfId="0" applyNumberFormat="1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left" vertical="center" indent="1"/>
    </xf>
    <xf numFmtId="164" fontId="0" fillId="2" borderId="4" xfId="1" applyFont="1" applyFill="1" applyBorder="1"/>
    <xf numFmtId="0" fontId="0" fillId="2" borderId="0" xfId="0" applyFill="1"/>
    <xf numFmtId="164" fontId="0" fillId="0" borderId="7" xfId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12" xfId="0" applyNumberFormat="1" applyBorder="1"/>
    <xf numFmtId="0" fontId="0" fillId="0" borderId="13" xfId="0" applyBorder="1"/>
    <xf numFmtId="164" fontId="0" fillId="0" borderId="14" xfId="0" applyNumberFormat="1" applyBorder="1"/>
    <xf numFmtId="164" fontId="0" fillId="0" borderId="2" xfId="1" applyFont="1" applyBorder="1"/>
    <xf numFmtId="0" fontId="0" fillId="0" borderId="15" xfId="0" applyBorder="1"/>
    <xf numFmtId="164" fontId="0" fillId="0" borderId="16" xfId="1" applyFont="1" applyBorder="1"/>
    <xf numFmtId="164" fontId="0" fillId="0" borderId="17" xfId="0" applyNumberFormat="1" applyBorder="1"/>
    <xf numFmtId="0" fontId="0" fillId="0" borderId="18" xfId="0" applyBorder="1"/>
    <xf numFmtId="164" fontId="0" fillId="0" borderId="19" xfId="1" applyFont="1" applyBorder="1"/>
    <xf numFmtId="164" fontId="0" fillId="0" borderId="20" xfId="0" applyNumberFormat="1" applyBorder="1"/>
  </cellXfs>
  <cellStyles count="2">
    <cellStyle name="Moneda [0]" xfId="1" builtinId="7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3016-945F-48AF-B5C9-F2D535D395AB}">
  <dimension ref="B2:H19"/>
  <sheetViews>
    <sheetView zoomScale="140" zoomScaleNormal="140" workbookViewId="0">
      <selection activeCell="G15" sqref="G15"/>
    </sheetView>
  </sheetViews>
  <sheetFormatPr baseColWidth="10" defaultRowHeight="15" x14ac:dyDescent="0.25"/>
  <cols>
    <col min="2" max="2" width="18.85546875" customWidth="1"/>
    <col min="3" max="3" width="13.42578125" bestFit="1" customWidth="1"/>
    <col min="4" max="4" width="12.42578125" customWidth="1"/>
    <col min="5" max="5" width="11.7109375" bestFit="1" customWidth="1"/>
  </cols>
  <sheetData>
    <row r="2" spans="2:8" ht="15.75" thickBot="1" x14ac:dyDescent="0.3">
      <c r="B2" t="s">
        <v>15</v>
      </c>
    </row>
    <row r="3" spans="2:8" x14ac:dyDescent="0.25">
      <c r="B3" s="3" t="s">
        <v>12</v>
      </c>
      <c r="C3" s="22">
        <v>1650000</v>
      </c>
    </row>
    <row r="4" spans="2:8" x14ac:dyDescent="0.25">
      <c r="B4" s="5" t="s">
        <v>13</v>
      </c>
      <c r="C4" s="6">
        <v>1000000</v>
      </c>
    </row>
    <row r="5" spans="2:8" ht="15.75" thickBot="1" x14ac:dyDescent="0.3">
      <c r="B5" s="7" t="s">
        <v>14</v>
      </c>
      <c r="C5" s="8">
        <f>SUM(C3:C4)</f>
        <v>2650000</v>
      </c>
    </row>
    <row r="7" spans="2:8" ht="15.75" thickBot="1" x14ac:dyDescent="0.3"/>
    <row r="8" spans="2:8" x14ac:dyDescent="0.25">
      <c r="B8" s="15" t="s">
        <v>0</v>
      </c>
      <c r="C8" s="16" t="s">
        <v>1</v>
      </c>
      <c r="D8" s="16" t="s">
        <v>2</v>
      </c>
      <c r="E8" s="17" t="s">
        <v>3</v>
      </c>
    </row>
    <row r="9" spans="2:8" x14ac:dyDescent="0.25">
      <c r="B9" s="18" t="s">
        <v>4</v>
      </c>
      <c r="C9" s="14">
        <v>400000</v>
      </c>
      <c r="D9" s="14">
        <v>400000</v>
      </c>
      <c r="E9" s="19">
        <f>C9-D9</f>
        <v>0</v>
      </c>
      <c r="F9" t="s">
        <v>60</v>
      </c>
    </row>
    <row r="10" spans="2:8" x14ac:dyDescent="0.25">
      <c r="B10" s="18" t="s">
        <v>11</v>
      </c>
      <c r="C10" s="14">
        <v>1000000</v>
      </c>
      <c r="D10" s="14">
        <f>GF!C19</f>
        <v>937109</v>
      </c>
      <c r="E10" s="19">
        <f t="shared" ref="E10:E16" si="0">C10-D10</f>
        <v>62891</v>
      </c>
    </row>
    <row r="11" spans="2:8" x14ac:dyDescent="0.25">
      <c r="B11" s="18" t="s">
        <v>5</v>
      </c>
      <c r="C11" s="14">
        <v>450000</v>
      </c>
      <c r="D11" s="14">
        <f>supermercado!C22</f>
        <v>253231</v>
      </c>
      <c r="E11" s="19">
        <f t="shared" si="0"/>
        <v>196769</v>
      </c>
      <c r="G11">
        <v>196</v>
      </c>
      <c r="H11" t="s">
        <v>65</v>
      </c>
    </row>
    <row r="12" spans="2:8" x14ac:dyDescent="0.25">
      <c r="B12" s="18" t="s">
        <v>6</v>
      </c>
      <c r="C12" s="14">
        <v>110000</v>
      </c>
      <c r="D12" s="14">
        <f>GF!F19</f>
        <v>16990</v>
      </c>
      <c r="E12" s="19">
        <f t="shared" si="0"/>
        <v>93010</v>
      </c>
    </row>
    <row r="13" spans="2:8" x14ac:dyDescent="0.25">
      <c r="B13" s="18" t="s">
        <v>7</v>
      </c>
      <c r="C13" s="14">
        <v>40000</v>
      </c>
      <c r="D13" s="14">
        <f>GF!O19</f>
        <v>0</v>
      </c>
      <c r="E13" s="19">
        <f t="shared" si="0"/>
        <v>40000</v>
      </c>
    </row>
    <row r="14" spans="2:8" x14ac:dyDescent="0.25">
      <c r="B14" s="18" t="s">
        <v>8</v>
      </c>
      <c r="C14" s="14">
        <v>261000</v>
      </c>
      <c r="D14" s="14">
        <f>GF!I19</f>
        <v>711530</v>
      </c>
      <c r="E14" s="19">
        <f t="shared" si="0"/>
        <v>-450530</v>
      </c>
    </row>
    <row r="15" spans="2:8" ht="15.75" thickBot="1" x14ac:dyDescent="0.3">
      <c r="B15" s="23" t="s">
        <v>9</v>
      </c>
      <c r="C15" s="24">
        <v>200000</v>
      </c>
      <c r="D15" s="24">
        <f>GF!L19</f>
        <v>44990</v>
      </c>
      <c r="E15" s="25">
        <f t="shared" si="0"/>
        <v>155010</v>
      </c>
    </row>
    <row r="16" spans="2:8" ht="15.75" thickBot="1" x14ac:dyDescent="0.3">
      <c r="B16" s="26" t="s">
        <v>10</v>
      </c>
      <c r="C16" s="27">
        <f>SUM(C9:C15)</f>
        <v>2461000</v>
      </c>
      <c r="D16" s="27">
        <f>SUM(D9:D15)</f>
        <v>2363850</v>
      </c>
      <c r="E16" s="28">
        <f t="shared" si="0"/>
        <v>97150</v>
      </c>
    </row>
    <row r="17" spans="2:3" ht="15.75" thickBot="1" x14ac:dyDescent="0.3">
      <c r="B17" s="20" t="s">
        <v>58</v>
      </c>
      <c r="C17" s="21">
        <f>C5-C16</f>
        <v>189000</v>
      </c>
    </row>
    <row r="18" spans="2:3" x14ac:dyDescent="0.25">
      <c r="B18" s="5" t="s">
        <v>59</v>
      </c>
      <c r="C18" s="2">
        <f>E16+C17</f>
        <v>286150</v>
      </c>
    </row>
    <row r="19" spans="2:3" x14ac:dyDescent="0.25">
      <c r="C19" s="2">
        <f>C18-E11</f>
        <v>89381</v>
      </c>
    </row>
  </sheetData>
  <conditionalFormatting sqref="E9:E16">
    <cfRule type="cellIs" dxfId="1" priority="1" operator="greaterThan">
      <formula>1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5EC3-0DA3-4AFC-A34D-7F521AA8FD96}">
  <dimension ref="B2:O42"/>
  <sheetViews>
    <sheetView workbookViewId="0">
      <selection activeCell="B3" sqref="B3:C19"/>
    </sheetView>
  </sheetViews>
  <sheetFormatPr baseColWidth="10" defaultRowHeight="15" x14ac:dyDescent="0.25"/>
  <cols>
    <col min="2" max="2" width="17.7109375" bestFit="1" customWidth="1"/>
    <col min="3" max="3" width="11.7109375" bestFit="1" customWidth="1"/>
    <col min="8" max="8" width="17.5703125" bestFit="1" customWidth="1"/>
    <col min="11" max="11" width="12.140625" bestFit="1" customWidth="1"/>
  </cols>
  <sheetData>
    <row r="2" spans="2:15" ht="15.75" thickBot="1" x14ac:dyDescent="0.3"/>
    <row r="3" spans="2:15" x14ac:dyDescent="0.25">
      <c r="B3" s="3" t="s">
        <v>46</v>
      </c>
      <c r="C3" s="4" t="s">
        <v>30</v>
      </c>
      <c r="E3" s="3" t="s">
        <v>44</v>
      </c>
      <c r="F3" s="4" t="s">
        <v>30</v>
      </c>
      <c r="H3" s="3" t="s">
        <v>45</v>
      </c>
      <c r="I3" s="4" t="s">
        <v>47</v>
      </c>
      <c r="K3" s="3" t="s">
        <v>48</v>
      </c>
      <c r="L3" s="4" t="s">
        <v>49</v>
      </c>
      <c r="N3" s="3" t="s">
        <v>7</v>
      </c>
      <c r="O3" s="4" t="s">
        <v>30</v>
      </c>
    </row>
    <row r="4" spans="2:15" x14ac:dyDescent="0.25">
      <c r="B4" s="5" t="s">
        <v>16</v>
      </c>
      <c r="C4" s="6">
        <v>368260</v>
      </c>
      <c r="E4" s="5" t="s">
        <v>62</v>
      </c>
      <c r="F4" s="9">
        <v>12000</v>
      </c>
      <c r="H4" s="5" t="s">
        <v>42</v>
      </c>
      <c r="I4" s="9">
        <v>580000</v>
      </c>
      <c r="K4" s="5" t="s">
        <v>12</v>
      </c>
      <c r="L4" s="9"/>
      <c r="N4" s="5"/>
      <c r="O4" s="9"/>
    </row>
    <row r="5" spans="2:15" x14ac:dyDescent="0.25">
      <c r="B5" s="5" t="s">
        <v>17</v>
      </c>
      <c r="C5" s="6">
        <v>56877</v>
      </c>
      <c r="E5" s="5" t="s">
        <v>64</v>
      </c>
      <c r="F5" s="9">
        <v>4990</v>
      </c>
      <c r="H5" s="5" t="s">
        <v>63</v>
      </c>
      <c r="I5" s="9">
        <v>131530</v>
      </c>
      <c r="K5" s="5" t="s">
        <v>13</v>
      </c>
      <c r="L5" s="9"/>
      <c r="N5" s="5"/>
      <c r="O5" s="9"/>
    </row>
    <row r="6" spans="2:15" ht="15.75" thickBot="1" x14ac:dyDescent="0.3">
      <c r="B6" s="5" t="s">
        <v>18</v>
      </c>
      <c r="C6" s="6">
        <v>42300</v>
      </c>
      <c r="E6" s="5"/>
      <c r="F6" s="9"/>
      <c r="H6" s="5"/>
      <c r="I6" s="9"/>
      <c r="K6" s="7" t="s">
        <v>36</v>
      </c>
      <c r="L6" s="10">
        <v>19990</v>
      </c>
      <c r="N6" s="5"/>
      <c r="O6" s="9"/>
    </row>
    <row r="7" spans="2:15" x14ac:dyDescent="0.25">
      <c r="B7" s="5" t="s">
        <v>19</v>
      </c>
      <c r="C7" s="6">
        <v>24873</v>
      </c>
      <c r="E7" s="5"/>
      <c r="F7" s="9"/>
      <c r="H7" s="5"/>
      <c r="I7" s="9"/>
      <c r="K7" t="s">
        <v>61</v>
      </c>
      <c r="L7">
        <v>25000</v>
      </c>
      <c r="N7" s="5"/>
      <c r="O7" s="9"/>
    </row>
    <row r="8" spans="2:15" x14ac:dyDescent="0.25">
      <c r="B8" s="5" t="s">
        <v>20</v>
      </c>
      <c r="C8" s="12">
        <v>45000</v>
      </c>
      <c r="E8" s="5"/>
      <c r="F8" s="9"/>
      <c r="H8" s="5"/>
      <c r="I8" s="9"/>
      <c r="N8" s="5"/>
      <c r="O8" s="9"/>
    </row>
    <row r="9" spans="2:15" x14ac:dyDescent="0.25">
      <c r="B9" s="5" t="s">
        <v>21</v>
      </c>
      <c r="C9" s="6">
        <v>5318</v>
      </c>
      <c r="E9" s="5"/>
      <c r="F9" s="9"/>
      <c r="H9" s="5"/>
      <c r="I9" s="9"/>
      <c r="N9" s="5"/>
      <c r="O9" s="9"/>
    </row>
    <row r="10" spans="2:15" x14ac:dyDescent="0.25">
      <c r="B10" s="5" t="s">
        <v>22</v>
      </c>
      <c r="C10" s="6">
        <v>15550</v>
      </c>
      <c r="E10" s="5"/>
      <c r="F10" s="9"/>
      <c r="H10" s="5"/>
      <c r="I10" s="9"/>
      <c r="N10" s="5"/>
      <c r="O10" s="9"/>
    </row>
    <row r="11" spans="2:15" x14ac:dyDescent="0.25">
      <c r="B11" s="5" t="s">
        <v>43</v>
      </c>
      <c r="C11" s="6">
        <v>22071</v>
      </c>
      <c r="E11" s="5"/>
      <c r="F11" s="9"/>
      <c r="H11" s="5"/>
      <c r="I11" s="9"/>
      <c r="N11" s="5"/>
      <c r="O11" s="9"/>
    </row>
    <row r="12" spans="2:15" x14ac:dyDescent="0.25">
      <c r="B12" s="5" t="s">
        <v>23</v>
      </c>
      <c r="C12" s="12">
        <v>6560</v>
      </c>
      <c r="E12" s="5"/>
      <c r="F12" s="9"/>
      <c r="H12" s="5"/>
      <c r="I12" s="9"/>
      <c r="N12" s="5"/>
      <c r="O12" s="9"/>
    </row>
    <row r="13" spans="2:15" x14ac:dyDescent="0.25">
      <c r="B13" s="5" t="s">
        <v>24</v>
      </c>
      <c r="C13" s="6">
        <v>9990</v>
      </c>
      <c r="E13" s="5"/>
      <c r="F13" s="9"/>
      <c r="H13" s="5"/>
      <c r="I13" s="9"/>
      <c r="N13" s="5"/>
      <c r="O13" s="9"/>
    </row>
    <row r="14" spans="2:15" x14ac:dyDescent="0.25">
      <c r="B14" s="5" t="s">
        <v>25</v>
      </c>
      <c r="C14" s="12">
        <v>8250</v>
      </c>
      <c r="E14" s="5"/>
      <c r="F14" s="9"/>
      <c r="H14" s="5"/>
      <c r="I14" s="9"/>
      <c r="N14" s="5"/>
      <c r="O14" s="9"/>
    </row>
    <row r="15" spans="2:15" x14ac:dyDescent="0.25">
      <c r="B15" s="5" t="s">
        <v>26</v>
      </c>
      <c r="C15" s="12">
        <v>75000</v>
      </c>
      <c r="E15" s="5"/>
      <c r="F15" s="9"/>
      <c r="H15" s="5"/>
      <c r="I15" s="9"/>
      <c r="N15" s="5"/>
      <c r="O15" s="9"/>
    </row>
    <row r="16" spans="2:15" x14ac:dyDescent="0.25">
      <c r="B16" s="5" t="s">
        <v>27</v>
      </c>
      <c r="C16" s="6">
        <v>15000</v>
      </c>
      <c r="E16" s="5"/>
      <c r="F16" s="9"/>
      <c r="H16" s="5"/>
      <c r="I16" s="9"/>
      <c r="N16" s="5"/>
      <c r="O16" s="9"/>
    </row>
    <row r="17" spans="2:15" x14ac:dyDescent="0.25">
      <c r="B17" s="5" t="s">
        <v>28</v>
      </c>
      <c r="C17" s="12">
        <v>200000</v>
      </c>
      <c r="E17" s="5"/>
      <c r="F17" s="9"/>
      <c r="H17" s="5"/>
      <c r="I17" s="9"/>
      <c r="N17" s="5"/>
      <c r="O17" s="9"/>
    </row>
    <row r="18" spans="2:15" x14ac:dyDescent="0.25">
      <c r="B18" s="5" t="s">
        <v>29</v>
      </c>
      <c r="C18" s="6">
        <v>42060</v>
      </c>
      <c r="E18" s="5"/>
      <c r="F18" s="9"/>
      <c r="H18" s="5"/>
      <c r="I18" s="9"/>
      <c r="N18" s="5"/>
      <c r="O18" s="9"/>
    </row>
    <row r="19" spans="2:15" ht="15.75" thickBot="1" x14ac:dyDescent="0.3">
      <c r="B19" s="7" t="s">
        <v>10</v>
      </c>
      <c r="C19" s="8">
        <f>SUM(C4:C18)</f>
        <v>937109</v>
      </c>
      <c r="E19" s="7" t="s">
        <v>10</v>
      </c>
      <c r="F19" s="10">
        <f>SUM(F4:F18)</f>
        <v>16990</v>
      </c>
      <c r="H19" s="7" t="s">
        <v>10</v>
      </c>
      <c r="I19" s="10">
        <f>SUM(I4:I18)</f>
        <v>711530</v>
      </c>
      <c r="K19" t="s">
        <v>10</v>
      </c>
      <c r="L19">
        <f>SUM(L4:L18)</f>
        <v>44990</v>
      </c>
      <c r="N19" s="7" t="s">
        <v>10</v>
      </c>
      <c r="O19" s="10">
        <f>SUM(O4:O18)</f>
        <v>0</v>
      </c>
    </row>
    <row r="22" spans="2:15" x14ac:dyDescent="0.25">
      <c r="C22" s="2">
        <f>SUM(C8+C12+C14+E23+C17)</f>
        <v>259810</v>
      </c>
    </row>
    <row r="28" spans="2:15" x14ac:dyDescent="0.25">
      <c r="D28">
        <v>57930</v>
      </c>
    </row>
    <row r="29" spans="2:15" x14ac:dyDescent="0.25">
      <c r="D29">
        <v>40240</v>
      </c>
    </row>
    <row r="30" spans="2:15" x14ac:dyDescent="0.25">
      <c r="D30">
        <v>6390</v>
      </c>
      <c r="H30" s="11" t="s">
        <v>50</v>
      </c>
    </row>
    <row r="31" spans="2:15" x14ac:dyDescent="0.25">
      <c r="D31">
        <v>26970</v>
      </c>
      <c r="H31" s="11"/>
    </row>
    <row r="32" spans="2:15" x14ac:dyDescent="0.25">
      <c r="D32">
        <f>SUM(D28:D31)</f>
        <v>131530</v>
      </c>
      <c r="H32" s="11" t="s">
        <v>51</v>
      </c>
    </row>
    <row r="33" spans="8:8" x14ac:dyDescent="0.25">
      <c r="H33" s="11"/>
    </row>
    <row r="34" spans="8:8" x14ac:dyDescent="0.25">
      <c r="H34" s="11" t="s">
        <v>52</v>
      </c>
    </row>
    <row r="35" spans="8:8" x14ac:dyDescent="0.25">
      <c r="H35" s="11"/>
    </row>
    <row r="36" spans="8:8" x14ac:dyDescent="0.25">
      <c r="H36" s="11" t="s">
        <v>53</v>
      </c>
    </row>
    <row r="37" spans="8:8" x14ac:dyDescent="0.25">
      <c r="H37" s="11"/>
    </row>
    <row r="38" spans="8:8" x14ac:dyDescent="0.25">
      <c r="H38" s="11" t="s">
        <v>54</v>
      </c>
    </row>
    <row r="39" spans="8:8" x14ac:dyDescent="0.25">
      <c r="H39" s="11"/>
    </row>
    <row r="40" spans="8:8" x14ac:dyDescent="0.25">
      <c r="H40" s="11" t="s">
        <v>55</v>
      </c>
    </row>
    <row r="41" spans="8:8" x14ac:dyDescent="0.25">
      <c r="H41" s="11"/>
    </row>
    <row r="42" spans="8:8" x14ac:dyDescent="0.25">
      <c r="H42" s="1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2302-09E1-4E46-B9C6-86E3BFDC479B}">
  <dimension ref="B1:C18"/>
  <sheetViews>
    <sheetView tabSelected="1" workbookViewId="0">
      <selection activeCell="H10" sqref="H10"/>
    </sheetView>
  </sheetViews>
  <sheetFormatPr baseColWidth="10" defaultRowHeight="15" x14ac:dyDescent="0.25"/>
  <sheetData>
    <row r="1" spans="2:3" ht="15.75" thickBot="1" x14ac:dyDescent="0.3"/>
    <row r="2" spans="2:3" x14ac:dyDescent="0.25">
      <c r="B2" s="3" t="s">
        <v>46</v>
      </c>
      <c r="C2" s="4" t="s">
        <v>30</v>
      </c>
    </row>
    <row r="3" spans="2:3" x14ac:dyDescent="0.25">
      <c r="B3" s="5" t="s">
        <v>16</v>
      </c>
      <c r="C3" s="6">
        <v>368260</v>
      </c>
    </row>
    <row r="4" spans="2:3" x14ac:dyDescent="0.25">
      <c r="B4" s="5" t="s">
        <v>17</v>
      </c>
      <c r="C4" s="6">
        <v>56877</v>
      </c>
    </row>
    <row r="5" spans="2:3" x14ac:dyDescent="0.25">
      <c r="B5" s="5" t="s">
        <v>18</v>
      </c>
      <c r="C5" s="6">
        <v>42300</v>
      </c>
    </row>
    <row r="6" spans="2:3" x14ac:dyDescent="0.25">
      <c r="B6" s="5" t="s">
        <v>19</v>
      </c>
      <c r="C6" s="6">
        <v>24873</v>
      </c>
    </row>
    <row r="7" spans="2:3" x14ac:dyDescent="0.25">
      <c r="B7" s="5" t="s">
        <v>20</v>
      </c>
      <c r="C7" s="12">
        <v>45000</v>
      </c>
    </row>
    <row r="8" spans="2:3" x14ac:dyDescent="0.25">
      <c r="B8" s="5" t="s">
        <v>21</v>
      </c>
      <c r="C8" s="6">
        <v>5318</v>
      </c>
    </row>
    <row r="9" spans="2:3" x14ac:dyDescent="0.25">
      <c r="B9" s="5"/>
      <c r="C9" s="6"/>
    </row>
    <row r="10" spans="2:3" x14ac:dyDescent="0.25">
      <c r="B10" s="5" t="s">
        <v>43</v>
      </c>
      <c r="C10" s="6">
        <v>22071</v>
      </c>
    </row>
    <row r="11" spans="2:3" x14ac:dyDescent="0.25">
      <c r="B11" s="5" t="s">
        <v>23</v>
      </c>
      <c r="C11" s="12">
        <v>6560</v>
      </c>
    </row>
    <row r="12" spans="2:3" x14ac:dyDescent="0.25">
      <c r="B12" s="5"/>
      <c r="C12" s="6"/>
    </row>
    <row r="13" spans="2:3" x14ac:dyDescent="0.25">
      <c r="B13" s="5" t="s">
        <v>25</v>
      </c>
      <c r="C13" s="12">
        <v>8250</v>
      </c>
    </row>
    <row r="14" spans="2:3" x14ac:dyDescent="0.25">
      <c r="B14" s="5" t="s">
        <v>26</v>
      </c>
      <c r="C14" s="12">
        <v>100000</v>
      </c>
    </row>
    <row r="15" spans="2:3" x14ac:dyDescent="0.25">
      <c r="B15" s="5"/>
      <c r="C15" s="6"/>
    </row>
    <row r="16" spans="2:3" x14ac:dyDescent="0.25">
      <c r="B16" s="5" t="s">
        <v>28</v>
      </c>
      <c r="C16" s="12">
        <v>200000</v>
      </c>
    </row>
    <row r="17" spans="2:3" x14ac:dyDescent="0.25">
      <c r="B17" s="5"/>
      <c r="C17" s="6"/>
    </row>
    <row r="18" spans="2:3" ht="15.75" thickBot="1" x14ac:dyDescent="0.3">
      <c r="B18" s="7" t="s">
        <v>10</v>
      </c>
      <c r="C18" s="8">
        <f>SUM(C3:C17)</f>
        <v>879509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D537-1FCA-487E-9AD5-1C624C9E5B0A}">
  <dimension ref="B3:C22"/>
  <sheetViews>
    <sheetView zoomScale="104" workbookViewId="0">
      <selection activeCell="G20" sqref="G20"/>
    </sheetView>
  </sheetViews>
  <sheetFormatPr baseColWidth="10" defaultRowHeight="15" x14ac:dyDescent="0.25"/>
  <sheetData>
    <row r="3" spans="2:3" x14ac:dyDescent="0.25">
      <c r="B3" t="s">
        <v>31</v>
      </c>
      <c r="C3" t="s">
        <v>32</v>
      </c>
    </row>
    <row r="4" spans="2:3" x14ac:dyDescent="0.25">
      <c r="B4" t="s">
        <v>34</v>
      </c>
      <c r="C4">
        <v>56640</v>
      </c>
    </row>
    <row r="5" spans="2:3" x14ac:dyDescent="0.25">
      <c r="B5" t="s">
        <v>33</v>
      </c>
      <c r="C5">
        <v>17400</v>
      </c>
    </row>
    <row r="6" spans="2:3" x14ac:dyDescent="0.25">
      <c r="B6" t="s">
        <v>35</v>
      </c>
      <c r="C6">
        <v>5300</v>
      </c>
    </row>
    <row r="7" spans="2:3" x14ac:dyDescent="0.25">
      <c r="B7" t="s">
        <v>37</v>
      </c>
      <c r="C7">
        <v>11100</v>
      </c>
    </row>
    <row r="8" spans="2:3" x14ac:dyDescent="0.25">
      <c r="B8" t="s">
        <v>34</v>
      </c>
      <c r="C8">
        <v>22460</v>
      </c>
    </row>
    <row r="9" spans="2:3" x14ac:dyDescent="0.25">
      <c r="B9" t="s">
        <v>38</v>
      </c>
      <c r="C9">
        <v>68280</v>
      </c>
    </row>
    <row r="10" spans="2:3" x14ac:dyDescent="0.25">
      <c r="B10" t="s">
        <v>37</v>
      </c>
      <c r="C10">
        <v>10600</v>
      </c>
    </row>
    <row r="11" spans="2:3" x14ac:dyDescent="0.25">
      <c r="B11" t="s">
        <v>39</v>
      </c>
      <c r="C11">
        <v>14850</v>
      </c>
    </row>
    <row r="12" spans="2:3" x14ac:dyDescent="0.25">
      <c r="B12" t="s">
        <v>39</v>
      </c>
      <c r="C12">
        <v>7500</v>
      </c>
    </row>
    <row r="13" spans="2:3" x14ac:dyDescent="0.25">
      <c r="B13" t="s">
        <v>34</v>
      </c>
      <c r="C13">
        <v>13000</v>
      </c>
    </row>
    <row r="14" spans="2:3" x14ac:dyDescent="0.25">
      <c r="B14" t="s">
        <v>34</v>
      </c>
      <c r="C14">
        <v>16421</v>
      </c>
    </row>
    <row r="15" spans="2:3" x14ac:dyDescent="0.25">
      <c r="B15" t="s">
        <v>41</v>
      </c>
      <c r="C15">
        <v>6520</v>
      </c>
    </row>
    <row r="16" spans="2:3" x14ac:dyDescent="0.25">
      <c r="B16" t="s">
        <v>41</v>
      </c>
      <c r="C16">
        <v>3160</v>
      </c>
    </row>
    <row r="17" spans="2:3" x14ac:dyDescent="0.25">
      <c r="B17" t="s">
        <v>57</v>
      </c>
      <c r="C17" s="13"/>
    </row>
    <row r="22" spans="2:3" x14ac:dyDescent="0.25">
      <c r="B22" t="s">
        <v>40</v>
      </c>
      <c r="C22" s="1">
        <f>SUM(C4:C21)</f>
        <v>253231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6548-669B-44C2-B9A6-587A80D17152}">
  <dimension ref="B3:C4"/>
  <sheetViews>
    <sheetView workbookViewId="0">
      <selection activeCell="G9" sqref="G9"/>
    </sheetView>
  </sheetViews>
  <sheetFormatPr baseColWidth="10" defaultRowHeight="15" x14ac:dyDescent="0.25"/>
  <sheetData>
    <row r="3" spans="2:3" x14ac:dyDescent="0.25">
      <c r="B3" t="s">
        <v>36</v>
      </c>
      <c r="C3">
        <v>19990</v>
      </c>
    </row>
    <row r="4" spans="2:3" x14ac:dyDescent="0.25">
      <c r="B4" t="s">
        <v>42</v>
      </c>
      <c r="C4">
        <v>580000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GF</vt:lpstr>
      <vt:lpstr>Hoja1</vt:lpstr>
      <vt:lpstr>supermercado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Gonzalez</dc:creator>
  <cp:lastModifiedBy>Juan cristobal Gonzalez</cp:lastModifiedBy>
  <dcterms:created xsi:type="dcterms:W3CDTF">2026-03-09T19:17:50Z</dcterms:created>
  <dcterms:modified xsi:type="dcterms:W3CDTF">2026-04-01T22:28:19Z</dcterms:modified>
</cp:coreProperties>
</file>