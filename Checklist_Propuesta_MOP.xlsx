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BASES" sheetId="2" state="visible" r:id="rId2"/>
    <sheet xmlns:r="http://schemas.openxmlformats.org/officeDocument/2006/relationships" name="PERSONAL" sheetId="3" state="visible" r:id="rId3"/>
    <sheet xmlns:r="http://schemas.openxmlformats.org/officeDocument/2006/relationships" name="METODOLOGIA" sheetId="4" state="visible" r:id="rId4"/>
    <sheet xmlns:r="http://schemas.openxmlformats.org/officeDocument/2006/relationships" name="ECONOMICA" sheetId="5" state="visible" r:id="rId5"/>
    <sheet xmlns:r="http://schemas.openxmlformats.org/officeDocument/2006/relationships" name="DOCUMENTAL" sheetId="6" state="visible" r:id="rId6"/>
    <sheet xmlns:r="http://schemas.openxmlformats.org/officeDocument/2006/relationships" name="CALIDAD" sheetId="7" state="visible" r:id="rId7"/>
    <sheet xmlns:r="http://schemas.openxmlformats.org/officeDocument/2006/relationships" name="CIER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1F3864"/>
      <sz val="9"/>
    </font>
    <font>
      <name val="Arial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sz val="9"/>
    </font>
    <font>
      <name val="Arial"/>
      <b val="1"/>
      <color rgb="00000000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1F3864"/>
      <sz val="8"/>
    </font>
    <font>
      <name val="Arial"/>
      <b val="1"/>
      <color rgb="00FFFFFF"/>
      <sz val="8"/>
    </font>
    <font>
      <name val="Arial"/>
      <b val="1"/>
      <color rgb="007F6000"/>
      <sz val="9"/>
    </font>
    <font>
      <name val="Arial"/>
      <i val="1"/>
      <sz val="9"/>
    </font>
    <font>
      <name val="Arial"/>
      <color rgb="00595959"/>
      <sz val="8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FFD966"/>
      </patternFill>
    </fill>
    <fill>
      <patternFill patternType="solid">
        <fgColor rgb="00C00000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03864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3857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9" fontId="9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9" fontId="9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/>
    </xf>
    <xf numFmtId="9" fontId="11" fillId="4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vertical="center" indent="1"/>
    </xf>
    <xf numFmtId="0" fontId="3" fillId="10" borderId="1" applyAlignment="1" pivotButton="0" quotePrefix="0" xfId="0">
      <alignment horizontal="left" vertical="center" indent="1"/>
    </xf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13" fillId="14" borderId="0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 wrapText="1"/>
    </xf>
    <xf numFmtId="0" fontId="13" fillId="15" borderId="0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 wrapText="1"/>
    </xf>
    <xf numFmtId="0" fontId="13" fillId="16" borderId="0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b val="1"/>
        <color rgb="00375623"/>
      </font>
      <fill>
        <patternFill>
          <bgColor rgb="00E2EFDA"/>
        </patternFill>
      </fill>
    </dxf>
    <dxf>
      <font>
        <b val="1"/>
        <color rgb="00C00000"/>
      </font>
      <fill>
        <patternFill>
          <bgColor rgb="00FCE4D6"/>
        </patternFill>
      </fill>
    </dxf>
    <dxf>
      <font>
        <b val="1"/>
        <color rgb="007F6000"/>
      </font>
      <fill>
        <patternFill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0" customWidth="1" min="3" max="3"/>
    <col width="20" customWidth="1" min="4" max="4"/>
    <col width="18" customWidth="1" min="5" max="5"/>
    <col width="18" customWidth="1" min="6" max="6"/>
    <col width="14" customWidth="1" min="7" max="7"/>
  </cols>
  <sheetData>
    <row r="2" ht="30" customHeight="1">
      <c r="B2" s="1" t="inlineStr">
        <is>
          <t>CHECKLIST MAESTRO – PROPUESTA GANADORA MOP</t>
        </is>
      </c>
    </row>
    <row r="3" ht="14" customHeight="1"/>
    <row r="4" ht="18" customHeight="1">
      <c r="B4" s="2" t="inlineStr">
        <is>
          <t>Control integral de propuesta técnica, económica y documental | Equipo: Jefe + Analista 1 + Analista 2</t>
        </is>
      </c>
    </row>
    <row r="6" ht="6" customHeight="1"/>
    <row r="7" ht="20" customHeight="1">
      <c r="B7" s="3" t="inlineStr">
        <is>
          <t>Nombre del Contrato:</t>
        </is>
      </c>
      <c r="C7" s="4" t="n"/>
    </row>
    <row r="8" ht="20" customHeight="1">
      <c r="B8" s="3" t="inlineStr">
        <is>
          <t>N° Licitación / ID:</t>
        </is>
      </c>
      <c r="C8" s="4" t="n"/>
    </row>
    <row r="9" ht="20" customHeight="1">
      <c r="B9" s="3" t="inlineStr">
        <is>
          <t>Mandante / Dirección MOP:</t>
        </is>
      </c>
      <c r="C9" s="4" t="n"/>
    </row>
    <row r="10" ht="20" customHeight="1">
      <c r="B10" s="3" t="inlineStr">
        <is>
          <t>Fecha de Apertura:</t>
        </is>
      </c>
      <c r="C10" s="4" t="n"/>
    </row>
    <row r="11" ht="20" customHeight="1">
      <c r="B11" s="3" t="inlineStr">
        <is>
          <t>Jefe de Propuesta:</t>
        </is>
      </c>
      <c r="C11" s="4" t="n"/>
    </row>
    <row r="12" ht="20" customHeight="1">
      <c r="B12" s="3" t="inlineStr">
        <is>
          <t>Analista 1:</t>
        </is>
      </c>
      <c r="C12" s="4" t="n"/>
    </row>
    <row r="13" ht="20" customHeight="1">
      <c r="B13" s="3" t="inlineStr">
        <is>
          <t>Analista 2:</t>
        </is>
      </c>
      <c r="C13" s="4" t="n"/>
    </row>
    <row r="14" ht="20" customHeight="1">
      <c r="B14" s="3" t="inlineStr">
        <is>
          <t>Fecha última revisión:</t>
        </is>
      </c>
      <c r="C14" s="4" t="n"/>
    </row>
    <row r="16" ht="6" customHeight="1"/>
    <row r="17" ht="22" customHeight="1">
      <c r="B17" s="5" t="inlineStr">
        <is>
          <t>RESUMEN DE AVANCE POR MÓDULO</t>
        </is>
      </c>
    </row>
    <row r="18" ht="30" customHeight="1">
      <c r="B18" s="6" t="inlineStr">
        <is>
          <t>MÓDULO</t>
        </is>
      </c>
      <c r="C18" s="6" t="inlineStr">
        <is>
          <t>HOJA</t>
        </is>
      </c>
      <c r="D18" s="6" t="inlineStr">
        <is>
          <t>ÍTEMS</t>
        </is>
      </c>
      <c r="E18" s="6" t="inlineStr">
        <is>
          <t>✓ CUMPLE</t>
        </is>
      </c>
      <c r="F18" s="6" t="inlineStr">
        <is>
          <t>⚠ PEND.</t>
        </is>
      </c>
      <c r="G18" s="6" t="inlineStr">
        <is>
          <t>✗ NO CUMPLE</t>
        </is>
      </c>
      <c r="H18" s="6" t="inlineStr">
        <is>
          <t>% AVANCE</t>
        </is>
      </c>
    </row>
    <row r="19" ht="20" customHeight="1">
      <c r="B19" s="7" t="inlineStr">
        <is>
          <t>1. Revisión de Bases</t>
        </is>
      </c>
      <c r="C19" s="8" t="inlineStr">
        <is>
          <t>BASES</t>
        </is>
      </c>
      <c r="D19" s="8" t="n">
        <v>0</v>
      </c>
      <c r="E19" s="8" t="n">
        <v>0</v>
      </c>
      <c r="F19" s="8" t="n">
        <v>0</v>
      </c>
      <c r="G19" s="9">
        <f>IF(D19=0,"",E19/D19)</f>
        <v/>
      </c>
    </row>
    <row r="20" ht="20" customHeight="1">
      <c r="B20" s="10" t="inlineStr">
        <is>
          <t>2. Equipo / CV</t>
        </is>
      </c>
      <c r="C20" s="11" t="inlineStr">
        <is>
          <t>PERSONAL</t>
        </is>
      </c>
      <c r="D20" s="11" t="n">
        <v>0</v>
      </c>
      <c r="E20" s="11" t="n">
        <v>0</v>
      </c>
      <c r="F20" s="11" t="n">
        <v>0</v>
      </c>
      <c r="G20" s="12">
        <f>IF(D20=0,"",E20/D20)</f>
        <v/>
      </c>
    </row>
    <row r="21" ht="20" customHeight="1">
      <c r="B21" s="7" t="inlineStr">
        <is>
          <t>3. Metodología</t>
        </is>
      </c>
      <c r="C21" s="8" t="inlineStr">
        <is>
          <t>METODOLOGIA</t>
        </is>
      </c>
      <c r="D21" s="8" t="n">
        <v>0</v>
      </c>
      <c r="E21" s="8" t="n">
        <v>0</v>
      </c>
      <c r="F21" s="8" t="n">
        <v>0</v>
      </c>
      <c r="G21" s="9">
        <f>IF(D21=0,"",E21/D21)</f>
        <v/>
      </c>
    </row>
    <row r="22" ht="20" customHeight="1">
      <c r="B22" s="10" t="inlineStr">
        <is>
          <t>4. Oferta Económica</t>
        </is>
      </c>
      <c r="C22" s="11" t="inlineStr">
        <is>
          <t>ECONOMICA</t>
        </is>
      </c>
      <c r="D22" s="11" t="n">
        <v>0</v>
      </c>
      <c r="E22" s="11" t="n">
        <v>0</v>
      </c>
      <c r="F22" s="11" t="n">
        <v>0</v>
      </c>
      <c r="G22" s="12">
        <f>IF(D22=0,"",E22/D22)</f>
        <v/>
      </c>
    </row>
    <row r="23" ht="20" customHeight="1">
      <c r="B23" s="7" t="inlineStr">
        <is>
          <t>5. Control Documental</t>
        </is>
      </c>
      <c r="C23" s="8" t="inlineStr">
        <is>
          <t>DOCUMENTAL</t>
        </is>
      </c>
      <c r="D23" s="8" t="n">
        <v>0</v>
      </c>
      <c r="E23" s="8" t="n">
        <v>0</v>
      </c>
      <c r="F23" s="8" t="n">
        <v>0</v>
      </c>
      <c r="G23" s="9">
        <f>IF(D23=0,"",E23/D23)</f>
        <v/>
      </c>
    </row>
    <row r="24" ht="20" customHeight="1">
      <c r="B24" s="10" t="inlineStr">
        <is>
          <t>6. Gestión de Calidad</t>
        </is>
      </c>
      <c r="C24" s="11" t="inlineStr">
        <is>
          <t>CALIDAD</t>
        </is>
      </c>
      <c r="D24" s="11" t="n">
        <v>0</v>
      </c>
      <c r="E24" s="11" t="n">
        <v>0</v>
      </c>
      <c r="F24" s="11" t="n">
        <v>0</v>
      </c>
      <c r="G24" s="12">
        <f>IF(D24=0,"",E24/D24)</f>
        <v/>
      </c>
    </row>
    <row r="25" ht="20" customHeight="1">
      <c r="B25" s="7" t="inlineStr">
        <is>
          <t>7. Cierre y Entrega</t>
        </is>
      </c>
      <c r="C25" s="8" t="inlineStr">
        <is>
          <t>CIERRE</t>
        </is>
      </c>
      <c r="D25" s="8" t="n">
        <v>0</v>
      </c>
      <c r="E25" s="8" t="n">
        <v>0</v>
      </c>
      <c r="F25" s="8" t="n">
        <v>0</v>
      </c>
      <c r="G25" s="9">
        <f>IF(D25=0,"",E25/D25)</f>
        <v/>
      </c>
    </row>
    <row r="26" ht="22" customHeight="1">
      <c r="B26" s="13" t="inlineStr">
        <is>
          <t>TOTAL GENERAL</t>
        </is>
      </c>
      <c r="C26" s="14" t="inlineStr"/>
      <c r="D26" s="15">
        <f>SUM(D19:D25)</f>
        <v/>
      </c>
      <c r="E26" s="15">
        <f>SUM(E19:E25)</f>
        <v/>
      </c>
      <c r="F26" s="15">
        <f>SUM(F19:F25)</f>
        <v/>
      </c>
      <c r="G26" s="16">
        <f>IF(D26=0,"",E26/D26)</f>
        <v/>
      </c>
    </row>
    <row r="28" ht="20" customHeight="1">
      <c r="B28" s="17" t="inlineStr">
        <is>
          <t>LEYENDA DE ESTADOS</t>
        </is>
      </c>
    </row>
    <row r="29" ht="18" customHeight="1">
      <c r="B29" s="18" t="inlineStr">
        <is>
          <t>✓ CUMPLE – Requisito verificado y acreditado</t>
        </is>
      </c>
    </row>
    <row r="30" ht="18" customHeight="1">
      <c r="B30" s="19" t="inlineStr">
        <is>
          <t>⚠ PENDIENTE – En proceso o con riesgo leve</t>
        </is>
      </c>
    </row>
    <row r="31" ht="18" customHeight="1">
      <c r="B31" s="20" t="inlineStr">
        <is>
          <t>✗ NO CUMPLE – Requiere acción inmediata</t>
        </is>
      </c>
    </row>
    <row r="32" ht="18" customHeight="1">
      <c r="B32" s="21" t="inlineStr">
        <is>
          <t>N/A – No aplica a este contrato</t>
        </is>
      </c>
    </row>
  </sheetData>
  <mergeCells count="16">
    <mergeCell ref="C7:G7"/>
    <mergeCell ref="B2:G3"/>
    <mergeCell ref="B28:G28"/>
    <mergeCell ref="C12:G12"/>
    <mergeCell ref="C10:G10"/>
    <mergeCell ref="B30:G30"/>
    <mergeCell ref="B31:G31"/>
    <mergeCell ref="B17:G17"/>
    <mergeCell ref="C11:G11"/>
    <mergeCell ref="B32:G32"/>
    <mergeCell ref="B4:G4"/>
    <mergeCell ref="C14:G14"/>
    <mergeCell ref="C13:G13"/>
    <mergeCell ref="C8:G8"/>
    <mergeCell ref="C9:G9"/>
    <mergeCell ref="B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48" customWidth="1" min="3" max="3"/>
    <col width="16" customWidth="1" min="4" max="4"/>
    <col width="11" customWidth="1" min="5" max="5"/>
    <col width="14" customWidth="1" min="6" max="6"/>
    <col width="30" customWidth="1" min="7" max="7"/>
    <col width="11" customWidth="1" min="8" max="8"/>
  </cols>
  <sheetData>
    <row r="1" ht="6" customHeight="1"/>
    <row r="2" ht="28" customHeight="1">
      <c r="B2" s="22" t="inlineStr">
        <is>
          <t>BASES</t>
        </is>
      </c>
    </row>
    <row r="3" ht="6" customHeight="1">
      <c r="H3">
        <f>COUNTIF(F6:F500,"✓ CUMPLE")</f>
        <v/>
      </c>
    </row>
    <row r="4" ht="16" customHeight="1">
      <c r="B4" s="23" t="inlineStr">
        <is>
          <t>Completa el Estado con el dropdown. Agrega observaciones y evidencias en columna G.</t>
        </is>
      </c>
    </row>
    <row r="5" ht="32" customHeight="1">
      <c r="B5" s="6" t="inlineStr">
        <is>
          <t>#</t>
        </is>
      </c>
      <c r="C5" s="6" t="inlineStr">
        <is>
          <t>ÍTEM / REQUISITO A VERIFICAR</t>
        </is>
      </c>
      <c r="D5" s="6" t="inlineStr">
        <is>
          <t>RESPONSABLE</t>
        </is>
      </c>
      <c r="E5" s="6" t="inlineStr">
        <is>
          <t>PRIORIDAD</t>
        </is>
      </c>
      <c r="F5" s="6" t="inlineStr">
        <is>
          <t>ESTADO</t>
        </is>
      </c>
      <c r="G5" s="6" t="inlineStr">
        <is>
          <t>OBSERVACIÓN / EVIDENCIA</t>
        </is>
      </c>
      <c r="H5" s="6" t="inlineStr">
        <is>
          <t>REF.
BASES</t>
        </is>
      </c>
    </row>
    <row r="6" ht="20" customHeight="1">
      <c r="B6" s="24" t="inlineStr">
        <is>
          <t xml:space="preserve">  ▶  A. LECTURA INICIAL Y ACLARACIONES</t>
        </is>
      </c>
    </row>
    <row r="7" ht="32" customHeight="1">
      <c r="B7" s="25" t="n">
        <v>1</v>
      </c>
      <c r="C7" s="26" t="inlineStr">
        <is>
          <t>Leer bases completas: administrativas, técnicas y especiales</t>
        </is>
      </c>
      <c r="D7" s="27" t="inlineStr">
        <is>
          <t>Jefe Propuesta</t>
        </is>
      </c>
      <c r="E7" s="28" t="inlineStr">
        <is>
          <t>CRÍTICO</t>
        </is>
      </c>
      <c r="F7" s="29" t="inlineStr">
        <is>
          <t>⚠ PENDIENTE</t>
        </is>
      </c>
      <c r="G7" s="30" t="inlineStr"/>
      <c r="H7" s="31" t="inlineStr">
        <is>
          <t>Req. básico</t>
        </is>
      </c>
    </row>
    <row r="8" ht="32" customHeight="1">
      <c r="B8" s="32" t="n">
        <v>2</v>
      </c>
      <c r="C8" s="33" t="inlineStr">
        <is>
          <t>Leer todos los anexos y formularios exigidos</t>
        </is>
      </c>
      <c r="D8" s="34" t="inlineStr">
        <is>
          <t>Analista 1</t>
        </is>
      </c>
      <c r="E8" s="28" t="inlineStr">
        <is>
          <t>CRÍTICO</t>
        </is>
      </c>
      <c r="F8" s="29" t="inlineStr">
        <is>
          <t>⚠ PENDIENTE</t>
        </is>
      </c>
      <c r="G8" s="35" t="inlineStr"/>
      <c r="H8" s="36" t="inlineStr">
        <is>
          <t>Req. básico</t>
        </is>
      </c>
    </row>
    <row r="9" ht="32" customHeight="1">
      <c r="B9" s="25" t="n">
        <v>3</v>
      </c>
      <c r="C9" s="26" t="inlineStr">
        <is>
          <t>Registrar fecha límite de consultas / aclaraciones</t>
        </is>
      </c>
      <c r="D9" s="27" t="inlineStr">
        <is>
          <t>Analista 1</t>
        </is>
      </c>
      <c r="E9" s="28" t="inlineStr">
        <is>
          <t>CRÍTICO</t>
        </is>
      </c>
      <c r="F9" s="29" t="inlineStr">
        <is>
          <t>⚠ PENDIENTE</t>
        </is>
      </c>
      <c r="G9" s="30" t="inlineStr"/>
      <c r="H9" s="31" t="inlineStr">
        <is>
          <t>Plazo crítico</t>
        </is>
      </c>
    </row>
    <row r="10" ht="32" customHeight="1">
      <c r="B10" s="32" t="n">
        <v>4</v>
      </c>
      <c r="C10" s="33" t="inlineStr">
        <is>
          <t>Registrar fecha y lugar de apertura técnica y económica</t>
        </is>
      </c>
      <c r="D10" s="34" t="inlineStr">
        <is>
          <t>Analista 2</t>
        </is>
      </c>
      <c r="E10" s="28" t="inlineStr">
        <is>
          <t>CRÍTICO</t>
        </is>
      </c>
      <c r="F10" s="29" t="inlineStr">
        <is>
          <t>⚠ PENDIENTE</t>
        </is>
      </c>
      <c r="G10" s="35" t="inlineStr"/>
      <c r="H10" s="36" t="inlineStr">
        <is>
          <t>Plazo crítico</t>
        </is>
      </c>
    </row>
    <row r="11" ht="32" customHeight="1">
      <c r="B11" s="25" t="n">
        <v>5</v>
      </c>
      <c r="C11" s="26" t="inlineStr">
        <is>
          <t>Leer todas las aclaraciones publicadas en el portal</t>
        </is>
      </c>
      <c r="D11" s="27" t="inlineStr">
        <is>
          <t>Jefe Propuesta</t>
        </is>
      </c>
      <c r="E11" s="28" t="inlineStr">
        <is>
          <t>CRÍTICO</t>
        </is>
      </c>
      <c r="F11" s="29" t="inlineStr">
        <is>
          <t>⚠ PENDIENTE</t>
        </is>
      </c>
      <c r="G11" s="30" t="inlineStr"/>
      <c r="H11" s="31" t="inlineStr">
        <is>
          <t>Modifica bases</t>
        </is>
      </c>
    </row>
    <row r="12" ht="32" customHeight="1">
      <c r="B12" s="32" t="n">
        <v>6</v>
      </c>
      <c r="C12" s="33" t="inlineStr">
        <is>
          <t>Confirmar asistencia a visita a terreno (si es obligatoria)</t>
        </is>
      </c>
      <c r="D12" s="34" t="inlineStr">
        <is>
          <t>Analista 1</t>
        </is>
      </c>
      <c r="E12" s="28" t="inlineStr">
        <is>
          <t>CRÍTICO</t>
        </is>
      </c>
      <c r="F12" s="29" t="inlineStr">
        <is>
          <t>⚠ PENDIENTE</t>
        </is>
      </c>
      <c r="G12" s="35" t="inlineStr"/>
      <c r="H12" s="36" t="inlineStr">
        <is>
          <t>Req. básico</t>
        </is>
      </c>
    </row>
    <row r="13" ht="32" customHeight="1">
      <c r="B13" s="25" t="n">
        <v>7</v>
      </c>
      <c r="C13" s="26" t="inlineStr">
        <is>
          <t>Identificar si hay planos, EETT o documentos de referencia adicionales</t>
        </is>
      </c>
      <c r="D13" s="27" t="inlineStr">
        <is>
          <t>Analista 2</t>
        </is>
      </c>
      <c r="E13" s="37" t="inlineStr">
        <is>
          <t>ALTO</t>
        </is>
      </c>
      <c r="F13" s="29" t="inlineStr">
        <is>
          <t>⚠ PENDIENTE</t>
        </is>
      </c>
      <c r="G13" s="30" t="inlineStr"/>
      <c r="H13" s="31" t="inlineStr">
        <is>
          <t>Req. técnico</t>
        </is>
      </c>
    </row>
    <row r="15" ht="20" customHeight="1">
      <c r="B15" s="24" t="inlineStr">
        <is>
          <t xml:space="preserve">  ▶  B. REQUISITOS DE ADMISIBILIDAD</t>
        </is>
      </c>
    </row>
    <row r="16" ht="32" customHeight="1">
      <c r="B16" s="25" t="n">
        <v>8</v>
      </c>
      <c r="C16" s="26" t="inlineStr">
        <is>
          <t>Verificar monto mínimo de facturación / experiencia previa exigidos</t>
        </is>
      </c>
      <c r="D16" s="27" t="inlineStr">
        <is>
          <t>Jefe Propuesta</t>
        </is>
      </c>
      <c r="E16" s="28" t="inlineStr">
        <is>
          <t>CRÍTICO</t>
        </is>
      </c>
      <c r="F16" s="29" t="inlineStr">
        <is>
          <t>⚠ PENDIENTE</t>
        </is>
      </c>
      <c r="G16" s="30" t="inlineStr"/>
      <c r="H16" s="31" t="inlineStr">
        <is>
          <t>Fuera de bases</t>
        </is>
      </c>
    </row>
    <row r="17" ht="32" customHeight="1">
      <c r="B17" s="32" t="n">
        <v>9</v>
      </c>
      <c r="C17" s="33" t="inlineStr">
        <is>
          <t>Verificar inscripción vigente en Chileproveedores (sin observaciones)</t>
        </is>
      </c>
      <c r="D17" s="34" t="inlineStr">
        <is>
          <t>Analista 1</t>
        </is>
      </c>
      <c r="E17" s="28" t="inlineStr">
        <is>
          <t>CRÍTICO</t>
        </is>
      </c>
      <c r="F17" s="29" t="inlineStr">
        <is>
          <t>⚠ PENDIENTE</t>
        </is>
      </c>
      <c r="G17" s="35" t="inlineStr"/>
      <c r="H17" s="36" t="inlineStr">
        <is>
          <t>Fuera de bases</t>
        </is>
      </c>
    </row>
    <row r="18" ht="32" customHeight="1">
      <c r="B18" s="25" t="n">
        <v>10</v>
      </c>
      <c r="C18" s="26" t="inlineStr">
        <is>
          <t>Comprobar si se exige garantía de seriedad: monto, plazo, tipo</t>
        </is>
      </c>
      <c r="D18" s="27" t="inlineStr">
        <is>
          <t>Analista 1</t>
        </is>
      </c>
      <c r="E18" s="28" t="inlineStr">
        <is>
          <t>CRÍTICO</t>
        </is>
      </c>
      <c r="F18" s="29" t="inlineStr">
        <is>
          <t>⚠ PENDIENTE</t>
        </is>
      </c>
      <c r="G18" s="30" t="inlineStr"/>
      <c r="H18" s="31" t="inlineStr">
        <is>
          <t>Fuera de bases</t>
        </is>
      </c>
    </row>
    <row r="19" ht="32" customHeight="1">
      <c r="B19" s="32" t="n">
        <v>11</v>
      </c>
      <c r="C19" s="33" t="inlineStr">
        <is>
          <t>Verificar certificado de deuda tributaria / previsional al día</t>
        </is>
      </c>
      <c r="D19" s="34" t="inlineStr">
        <is>
          <t>Analista 2</t>
        </is>
      </c>
      <c r="E19" s="28" t="inlineStr">
        <is>
          <t>CRÍTICO</t>
        </is>
      </c>
      <c r="F19" s="29" t="inlineStr">
        <is>
          <t>⚠ PENDIENTE</t>
        </is>
      </c>
      <c r="G19" s="35" t="inlineStr"/>
      <c r="H19" s="36" t="inlineStr">
        <is>
          <t>Req. básico</t>
        </is>
      </c>
    </row>
    <row r="20" ht="32" customHeight="1">
      <c r="B20" s="25" t="n">
        <v>12</v>
      </c>
      <c r="C20" s="26" t="inlineStr">
        <is>
          <t>Revisar causales de fuera de bases expresamente listadas en bases</t>
        </is>
      </c>
      <c r="D20" s="27" t="inlineStr">
        <is>
          <t>Jefe Propuesta</t>
        </is>
      </c>
      <c r="E20" s="28" t="inlineStr">
        <is>
          <t>CRÍTICO</t>
        </is>
      </c>
      <c r="F20" s="29" t="inlineStr">
        <is>
          <t>⚠ PENDIENTE</t>
        </is>
      </c>
      <c r="G20" s="30" t="inlineStr"/>
      <c r="H20" s="31" t="inlineStr">
        <is>
          <t>Fuera de bases</t>
        </is>
      </c>
    </row>
    <row r="21" ht="32" customHeight="1">
      <c r="B21" s="32" t="n">
        <v>13</v>
      </c>
      <c r="C21" s="33" t="inlineStr">
        <is>
          <t>Identificar declaraciones juradas específicas exigidas</t>
        </is>
      </c>
      <c r="D21" s="34" t="inlineStr">
        <is>
          <t>Analista 2</t>
        </is>
      </c>
      <c r="E21" s="37" t="inlineStr">
        <is>
          <t>ALTO</t>
        </is>
      </c>
      <c r="F21" s="29" t="inlineStr">
        <is>
          <t>⚠ PENDIENTE</t>
        </is>
      </c>
      <c r="G21" s="35" t="inlineStr"/>
      <c r="H21" s="36" t="inlineStr">
        <is>
          <t>Admisibilidad</t>
        </is>
      </c>
    </row>
    <row r="22" ht="32" customHeight="1">
      <c r="B22" s="25" t="n">
        <v>14</v>
      </c>
      <c r="C22" s="26" t="inlineStr">
        <is>
          <t>Confirmar que la empresa puede postular (no está sancionada, inhabilitada)</t>
        </is>
      </c>
      <c r="D22" s="27" t="inlineStr">
        <is>
          <t>Jefe Propuesta</t>
        </is>
      </c>
      <c r="E22" s="28" t="inlineStr">
        <is>
          <t>CRÍTICO</t>
        </is>
      </c>
      <c r="F22" s="29" t="inlineStr">
        <is>
          <t>⚠ PENDIENTE</t>
        </is>
      </c>
      <c r="G22" s="30" t="inlineStr"/>
      <c r="H22" s="31" t="inlineStr">
        <is>
          <t>Admisibilidad</t>
        </is>
      </c>
    </row>
    <row r="24" ht="20" customHeight="1">
      <c r="B24" s="24" t="inlineStr">
        <is>
          <t xml:space="preserve">  ▶  C. CRITERIOS DE EVALUACIÓN Y PUNTAJE</t>
        </is>
      </c>
    </row>
    <row r="25" ht="32" customHeight="1">
      <c r="B25" s="25" t="n">
        <v>15</v>
      </c>
      <c r="C25" s="26" t="inlineStr">
        <is>
          <t>Extraer tabla de criterios con ponderación exacta (% por categoría)</t>
        </is>
      </c>
      <c r="D25" s="27" t="inlineStr">
        <is>
          <t>Jefe Propuesta</t>
        </is>
      </c>
      <c r="E25" s="28" t="inlineStr">
        <is>
          <t>CRÍTICO</t>
        </is>
      </c>
      <c r="F25" s="29" t="inlineStr">
        <is>
          <t>⚠ PENDIENTE</t>
        </is>
      </c>
      <c r="G25" s="30" t="inlineStr"/>
      <c r="H25" s="31" t="inlineStr">
        <is>
          <t>Puntaje</t>
        </is>
      </c>
    </row>
    <row r="26" ht="32" customHeight="1">
      <c r="B26" s="32" t="n">
        <v>16</v>
      </c>
      <c r="C26" s="33" t="inlineStr">
        <is>
          <t>Calcular puntaje máximo posible por categoría (metodología, personal, precio)</t>
        </is>
      </c>
      <c r="D26" s="34" t="inlineStr">
        <is>
          <t>Jefe Propuesta</t>
        </is>
      </c>
      <c r="E26" s="28" t="inlineStr">
        <is>
          <t>CRÍTICO</t>
        </is>
      </c>
      <c r="F26" s="29" t="inlineStr">
        <is>
          <t>⚠ PENDIENTE</t>
        </is>
      </c>
      <c r="G26" s="35" t="inlineStr"/>
      <c r="H26" s="36" t="inlineStr">
        <is>
          <t>Estrategia</t>
        </is>
      </c>
    </row>
    <row r="27" ht="32" customHeight="1">
      <c r="B27" s="25" t="n">
        <v>17</v>
      </c>
      <c r="C27" s="26" t="inlineStr">
        <is>
          <t>Identificar en qué criterios se puede maximizar puntaje diferenciador</t>
        </is>
      </c>
      <c r="D27" s="27" t="inlineStr">
        <is>
          <t>Jefe Propuesta</t>
        </is>
      </c>
      <c r="E27" s="28" t="inlineStr">
        <is>
          <t>CRÍTICO</t>
        </is>
      </c>
      <c r="F27" s="29" t="inlineStr">
        <is>
          <t>⚠ PENDIENTE</t>
        </is>
      </c>
      <c r="G27" s="30" t="inlineStr"/>
      <c r="H27" s="31" t="inlineStr">
        <is>
          <t>Estrategia</t>
        </is>
      </c>
    </row>
    <row r="28" ht="32" customHeight="1">
      <c r="B28" s="32" t="n">
        <v>18</v>
      </c>
      <c r="C28" s="33" t="inlineStr">
        <is>
          <t>Transcribir fórmula exacta de puntaje precio y calcular precio óptimo</t>
        </is>
      </c>
      <c r="D28" s="34" t="inlineStr">
        <is>
          <t>Jefe Propuesta</t>
        </is>
      </c>
      <c r="E28" s="28" t="inlineStr">
        <is>
          <t>CRÍTICO</t>
        </is>
      </c>
      <c r="F28" s="29" t="inlineStr">
        <is>
          <t>⚠ PENDIENTE</t>
        </is>
      </c>
      <c r="G28" s="35" t="inlineStr"/>
      <c r="H28" s="36" t="inlineStr">
        <is>
          <t>Puntaje precio</t>
        </is>
      </c>
    </row>
    <row r="29" ht="32" customHeight="1">
      <c r="B29" s="25" t="n">
        <v>19</v>
      </c>
      <c r="C29" s="26" t="inlineStr">
        <is>
          <t>Revisar si metodología tiene sub-criterios evaluados separadamente</t>
        </is>
      </c>
      <c r="D29" s="27" t="inlineStr">
        <is>
          <t>Analista 1</t>
        </is>
      </c>
      <c r="E29" s="37" t="inlineStr">
        <is>
          <t>ALTO</t>
        </is>
      </c>
      <c r="F29" s="29" t="inlineStr">
        <is>
          <t>⚠ PENDIENTE</t>
        </is>
      </c>
      <c r="G29" s="30" t="inlineStr"/>
      <c r="H29" s="31" t="inlineStr">
        <is>
          <t>Puntaje</t>
        </is>
      </c>
    </row>
    <row r="30" ht="32" customHeight="1">
      <c r="B30" s="32" t="n">
        <v>20</v>
      </c>
      <c r="C30" s="33" t="inlineStr">
        <is>
          <t>Revisar si experiencia del equipo tiene sub-puntajes por perfil</t>
        </is>
      </c>
      <c r="D30" s="34" t="inlineStr">
        <is>
          <t>Analista 1</t>
        </is>
      </c>
      <c r="E30" s="37" t="inlineStr">
        <is>
          <t>ALTO</t>
        </is>
      </c>
      <c r="F30" s="29" t="inlineStr">
        <is>
          <t>⚠ PENDIENTE</t>
        </is>
      </c>
      <c r="G30" s="35" t="inlineStr"/>
      <c r="H30" s="36" t="inlineStr">
        <is>
          <t>Puntaje</t>
        </is>
      </c>
    </row>
    <row r="31" ht="32" customHeight="1">
      <c r="B31" s="25" t="n">
        <v>21</v>
      </c>
      <c r="C31" s="26" t="inlineStr">
        <is>
          <t>Identificar si hay bonificaciones o puntos adicionales por compromisos</t>
        </is>
      </c>
      <c r="D31" s="27" t="inlineStr">
        <is>
          <t>Analista 2</t>
        </is>
      </c>
      <c r="E31" s="38" t="inlineStr">
        <is>
          <t>MEDIO</t>
        </is>
      </c>
      <c r="F31" s="29" t="inlineStr">
        <is>
          <t>⚠ PENDIENTE</t>
        </is>
      </c>
      <c r="G31" s="30" t="inlineStr"/>
      <c r="H31" s="31" t="inlineStr">
        <is>
          <t>Puntaje</t>
        </is>
      </c>
    </row>
    <row r="33" ht="20" customHeight="1">
      <c r="B33" s="24" t="inlineStr">
        <is>
          <t xml:space="preserve">  ▶  D. ALCANCE TÉCNICO DEL CONTRATO</t>
        </is>
      </c>
    </row>
    <row r="34" ht="32" customHeight="1">
      <c r="B34" s="25" t="n">
        <v>22</v>
      </c>
      <c r="C34" s="26" t="inlineStr">
        <is>
          <t>Identificar tipo de contrato (ITO, asesoría, ejecución, conservación vial)</t>
        </is>
      </c>
      <c r="D34" s="27" t="inlineStr">
        <is>
          <t>Jefe Propuesta</t>
        </is>
      </c>
      <c r="E34" s="28" t="inlineStr">
        <is>
          <t>CRÍTICO</t>
        </is>
      </c>
      <c r="F34" s="29" t="inlineStr">
        <is>
          <t>⚠ PENDIENTE</t>
        </is>
      </c>
      <c r="G34" s="30" t="inlineStr"/>
      <c r="H34" s="31" t="inlineStr">
        <is>
          <t>Alcance</t>
        </is>
      </c>
    </row>
    <row r="35" ht="32" customHeight="1">
      <c r="B35" s="32" t="n">
        <v>23</v>
      </c>
      <c r="C35" s="33" t="inlineStr">
        <is>
          <t>Definir claramente el alcance de responsabilidades de la asesoría</t>
        </is>
      </c>
      <c r="D35" s="34" t="inlineStr">
        <is>
          <t>Jefe Propuesta</t>
        </is>
      </c>
      <c r="E35" s="28" t="inlineStr">
        <is>
          <t>CRÍTICO</t>
        </is>
      </c>
      <c r="F35" s="29" t="inlineStr">
        <is>
          <t>⚠ PENDIENTE</t>
        </is>
      </c>
      <c r="G35" s="35" t="inlineStr"/>
      <c r="H35" s="36" t="inlineStr">
        <is>
          <t>Alcance</t>
        </is>
      </c>
    </row>
    <row r="36" ht="32" customHeight="1">
      <c r="B36" s="25" t="n">
        <v>24</v>
      </c>
      <c r="C36" s="26" t="inlineStr">
        <is>
          <t>Verificar plazo contractual, plazos parciales e hitos de entrega</t>
        </is>
      </c>
      <c r="D36" s="27" t="inlineStr">
        <is>
          <t>Analista 1</t>
        </is>
      </c>
      <c r="E36" s="28" t="inlineStr">
        <is>
          <t>CRÍTICO</t>
        </is>
      </c>
      <c r="F36" s="29" t="inlineStr">
        <is>
          <t>⚠ PENDIENTE</t>
        </is>
      </c>
      <c r="G36" s="30" t="inlineStr"/>
      <c r="H36" s="31" t="inlineStr">
        <is>
          <t>Plazo</t>
        </is>
      </c>
    </row>
    <row r="37" ht="32" customHeight="1">
      <c r="B37" s="32" t="n">
        <v>25</v>
      </c>
      <c r="C37" s="33" t="inlineStr">
        <is>
          <t>Identificar normas específicas aplicables (AASHTO, INN, MOP, ISO, DS 132)</t>
        </is>
      </c>
      <c r="D37" s="34" t="inlineStr">
        <is>
          <t>Analista 2</t>
        </is>
      </c>
      <c r="E37" s="37" t="inlineStr">
        <is>
          <t>ALTO</t>
        </is>
      </c>
      <c r="F37" s="29" t="inlineStr">
        <is>
          <t>⚠ PENDIENTE</t>
        </is>
      </c>
      <c r="G37" s="35" t="inlineStr"/>
      <c r="H37" s="36" t="inlineStr">
        <is>
          <t>Normativa</t>
        </is>
      </c>
    </row>
    <row r="38" ht="32" customHeight="1">
      <c r="B38" s="25" t="n">
        <v>26</v>
      </c>
      <c r="C38" s="26" t="inlineStr">
        <is>
          <t>Revisar si hay presupuesto referencial publicado y su desglose</t>
        </is>
      </c>
      <c r="D38" s="27" t="inlineStr">
        <is>
          <t>Jefe Propuesta</t>
        </is>
      </c>
      <c r="E38" s="37" t="inlineStr">
        <is>
          <t>ALTO</t>
        </is>
      </c>
      <c r="F38" s="29" t="inlineStr">
        <is>
          <t>⚠ PENDIENTE</t>
        </is>
      </c>
      <c r="G38" s="30" t="inlineStr"/>
      <c r="H38" s="31" t="inlineStr">
        <is>
          <t>Estrategia económica</t>
        </is>
      </c>
    </row>
    <row r="39" ht="32" customHeight="1">
      <c r="B39" s="32" t="n">
        <v>27</v>
      </c>
      <c r="C39" s="33" t="inlineStr">
        <is>
          <t>Identificar partidas o actividades de alcance ambiguo → enviar aclaración</t>
        </is>
      </c>
      <c r="D39" s="34" t="inlineStr">
        <is>
          <t>Analista 1</t>
        </is>
      </c>
      <c r="E39" s="37" t="inlineStr">
        <is>
          <t>ALTO</t>
        </is>
      </c>
      <c r="F39" s="29" t="inlineStr">
        <is>
          <t>⚠ PENDIENTE</t>
        </is>
      </c>
      <c r="G39" s="35" t="inlineStr"/>
      <c r="H39" s="36" t="inlineStr">
        <is>
          <t>Riesgo técnico</t>
        </is>
      </c>
    </row>
  </sheetData>
  <mergeCells count="6">
    <mergeCell ref="B4:H4"/>
    <mergeCell ref="B6:H6"/>
    <mergeCell ref="B24:H24"/>
    <mergeCell ref="B2:H2"/>
    <mergeCell ref="B15:H15"/>
    <mergeCell ref="B33:H33"/>
  </mergeCells>
  <conditionalFormatting sqref="F6:F41">
    <cfRule type="expression" priority="1" dxfId="0">
      <formula>NOT(ISERROR(SEARCH("CUMPLE",F6)))</formula>
    </cfRule>
    <cfRule type="expression" priority="2" dxfId="1">
      <formula>NOT(ISERROR(SEARCH("NO CUMPLE",F6)))</formula>
    </cfRule>
    <cfRule type="expression" priority="3" dxfId="2">
      <formula>NOT(ISERROR(SEARCH("PENDIENTE",F6)))</formula>
    </cfRule>
  </conditionalFormatting>
  <dataValidations count="1">
    <dataValidation sqref="F7 F8 F9 F10 F11 F12 F13 F16 F17 F18 F19 F20 F21 F22 F25 F26 F27 F28 F29 F30 F31 F34 F35 F36 F37 F38 F39" showDropDown="0" showInputMessage="0" showErrorMessage="0" allowBlank="1" type="list">
      <formula1>"✓ CUMPLE,⚠ PENDIENTE,✗ NO CUMPLE,N/A"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48" customWidth="1" min="3" max="3"/>
    <col width="16" customWidth="1" min="4" max="4"/>
    <col width="11" customWidth="1" min="5" max="5"/>
    <col width="14" customWidth="1" min="6" max="6"/>
    <col width="30" customWidth="1" min="7" max="7"/>
    <col width="11" customWidth="1" min="8" max="8"/>
  </cols>
  <sheetData>
    <row r="1" ht="6" customHeight="1"/>
    <row r="2" ht="28" customHeight="1">
      <c r="B2" s="22" t="inlineStr">
        <is>
          <t>PERSONAL</t>
        </is>
      </c>
    </row>
    <row r="3" ht="6" customHeight="1">
      <c r="H3">
        <f>COUNTIF(F6:F500,"✓ CUMPLE")</f>
        <v/>
      </c>
    </row>
    <row r="4" ht="16" customHeight="1">
      <c r="B4" s="23" t="inlineStr">
        <is>
          <t>Completa el Estado con el dropdown. Agrega observaciones y evidencias en columna G.</t>
        </is>
      </c>
    </row>
    <row r="5" ht="32" customHeight="1">
      <c r="B5" s="6" t="inlineStr">
        <is>
          <t>#</t>
        </is>
      </c>
      <c r="C5" s="6" t="inlineStr">
        <is>
          <t>ÍTEM / REQUISITO A VERIFICAR</t>
        </is>
      </c>
      <c r="D5" s="6" t="inlineStr">
        <is>
          <t>RESPONSABLE</t>
        </is>
      </c>
      <c r="E5" s="6" t="inlineStr">
        <is>
          <t>PRIORIDAD</t>
        </is>
      </c>
      <c r="F5" s="6" t="inlineStr">
        <is>
          <t>ESTADO</t>
        </is>
      </c>
      <c r="G5" s="6" t="inlineStr">
        <is>
          <t>OBSERVACIÓN / EVIDENCIA</t>
        </is>
      </c>
      <c r="H5" s="6" t="inlineStr">
        <is>
          <t>REF.
BASES</t>
        </is>
      </c>
    </row>
    <row r="6" ht="20" customHeight="1">
      <c r="B6" s="24" t="inlineStr">
        <is>
          <t xml:space="preserve">  ▶  A. JEFE DE ASESORÍA / JEFE DE PROYECTO</t>
        </is>
      </c>
    </row>
    <row r="7" ht="32" customHeight="1">
      <c r="B7" s="25" t="n">
        <v>1</v>
      </c>
      <c r="C7" s="26" t="inlineStr">
        <is>
          <t>Verificar título profesional exigido (ej: Ing. Civil, Constructor Civil)</t>
        </is>
      </c>
      <c r="D7" s="27" t="inlineStr">
        <is>
          <t>Jefe Propuesta</t>
        </is>
      </c>
      <c r="E7" s="28" t="inlineStr">
        <is>
          <t>CRÍTICO</t>
        </is>
      </c>
      <c r="F7" s="29" t="inlineStr">
        <is>
          <t>⚠ PENDIENTE</t>
        </is>
      </c>
      <c r="G7" s="30" t="inlineStr"/>
      <c r="H7" s="31" t="inlineStr">
        <is>
          <t>Fuera de bases</t>
        </is>
      </c>
    </row>
    <row r="8" ht="32" customHeight="1">
      <c r="B8" s="32" t="n">
        <v>2</v>
      </c>
      <c r="C8" s="33" t="inlineStr">
        <is>
          <t>Verificar años de experiencia total y experiencia específica exigidos</t>
        </is>
      </c>
      <c r="D8" s="34" t="inlineStr">
        <is>
          <t>Analista 1</t>
        </is>
      </c>
      <c r="E8" s="28" t="inlineStr">
        <is>
          <t>CRÍTICO</t>
        </is>
      </c>
      <c r="F8" s="29" t="inlineStr">
        <is>
          <t>⚠ PENDIENTE</t>
        </is>
      </c>
      <c r="G8" s="35" t="inlineStr"/>
      <c r="H8" s="36" t="inlineStr">
        <is>
          <t>Fuera de bases</t>
        </is>
      </c>
    </row>
    <row r="9" ht="32" customHeight="1">
      <c r="B9" s="25" t="n">
        <v>3</v>
      </c>
      <c r="C9" s="26" t="inlineStr">
        <is>
          <t>Confirmar que la experiencia acreditada es en proyectos del mismo tipo</t>
        </is>
      </c>
      <c r="D9" s="27" t="inlineStr">
        <is>
          <t>Analista 1</t>
        </is>
      </c>
      <c r="E9" s="28" t="inlineStr">
        <is>
          <t>CRÍTICO</t>
        </is>
      </c>
      <c r="F9" s="29" t="inlineStr">
        <is>
          <t>⚠ PENDIENTE</t>
        </is>
      </c>
      <c r="G9" s="30" t="inlineStr"/>
      <c r="H9" s="31" t="inlineStr">
        <is>
          <t>Puntaje</t>
        </is>
      </c>
    </row>
    <row r="10" ht="32" customHeight="1">
      <c r="B10" s="32" t="n">
        <v>4</v>
      </c>
      <c r="C10" s="33" t="inlineStr">
        <is>
          <t>Revisar que contratos del CV coincidan en nombre, mandante y año</t>
        </is>
      </c>
      <c r="D10" s="34" t="inlineStr">
        <is>
          <t>Analista 2</t>
        </is>
      </c>
      <c r="E10" s="37" t="inlineStr">
        <is>
          <t>ALTO</t>
        </is>
      </c>
      <c r="F10" s="29" t="inlineStr">
        <is>
          <t>⚠ PENDIENTE</t>
        </is>
      </c>
      <c r="G10" s="35" t="inlineStr"/>
      <c r="H10" s="36" t="inlineStr">
        <is>
          <t>Consistencia</t>
        </is>
      </c>
    </row>
    <row r="11" ht="32" customHeight="1">
      <c r="B11" s="25" t="n">
        <v>5</v>
      </c>
      <c r="C11" s="26" t="inlineStr">
        <is>
          <t>Verificar que carta compromiso está firmada, con RUT y fecha vigente</t>
        </is>
      </c>
      <c r="D11" s="27" t="inlineStr">
        <is>
          <t>Analista 1</t>
        </is>
      </c>
      <c r="E11" s="28" t="inlineStr">
        <is>
          <t>CRÍTICO</t>
        </is>
      </c>
      <c r="F11" s="29" t="inlineStr">
        <is>
          <t>⚠ PENDIENTE</t>
        </is>
      </c>
      <c r="G11" s="30" t="inlineStr"/>
      <c r="H11" s="31" t="inlineStr">
        <is>
          <t>Fuera de bases</t>
        </is>
      </c>
    </row>
    <row r="12" ht="32" customHeight="1">
      <c r="B12" s="32" t="n">
        <v>6</v>
      </c>
      <c r="C12" s="33" t="inlineStr">
        <is>
          <t>Comprobar que no está comprometido en otro contrato MOP activo incompatible</t>
        </is>
      </c>
      <c r="D12" s="34" t="inlineStr">
        <is>
          <t>Jefe Propuesta</t>
        </is>
      </c>
      <c r="E12" s="28" t="inlineStr">
        <is>
          <t>CRÍTICO</t>
        </is>
      </c>
      <c r="F12" s="29" t="inlineStr">
        <is>
          <t>⚠ PENDIENTE</t>
        </is>
      </c>
      <c r="G12" s="35" t="inlineStr"/>
      <c r="H12" s="36" t="inlineStr">
        <is>
          <t>Req. básico</t>
        </is>
      </c>
    </row>
    <row r="13" ht="32" customHeight="1">
      <c r="B13" s="25" t="n">
        <v>7</v>
      </c>
      <c r="C13" s="26" t="inlineStr">
        <is>
          <t>Calcular puntaje esperado para este perfil según tabla de bases</t>
        </is>
      </c>
      <c r="D13" s="27" t="inlineStr">
        <is>
          <t>Jefe Propuesta</t>
        </is>
      </c>
      <c r="E13" s="28" t="inlineStr">
        <is>
          <t>CRÍTICO</t>
        </is>
      </c>
      <c r="F13" s="29" t="inlineStr">
        <is>
          <t>⚠ PENDIENTE</t>
        </is>
      </c>
      <c r="G13" s="30" t="inlineStr"/>
      <c r="H13" s="31" t="inlineStr">
        <is>
          <t>Puntaje</t>
        </is>
      </c>
    </row>
    <row r="14" ht="32" customHeight="1">
      <c r="B14" s="32" t="n">
        <v>8</v>
      </c>
      <c r="C14" s="33" t="inlineStr">
        <is>
          <t>Revisar si la experiencia declarada supera el mínimo para obtener puntaje extra</t>
        </is>
      </c>
      <c r="D14" s="34" t="inlineStr">
        <is>
          <t>Analista 1</t>
        </is>
      </c>
      <c r="E14" s="37" t="inlineStr">
        <is>
          <t>ALTO</t>
        </is>
      </c>
      <c r="F14" s="29" t="inlineStr">
        <is>
          <t>⚠ PENDIENTE</t>
        </is>
      </c>
      <c r="G14" s="35" t="inlineStr"/>
      <c r="H14" s="36" t="inlineStr">
        <is>
          <t>Maximizar puntaje</t>
        </is>
      </c>
    </row>
    <row r="16" ht="20" customHeight="1">
      <c r="B16" s="24" t="inlineStr">
        <is>
          <t xml:space="preserve">  ▶  B. PROFESIONALES COMPLEMENTARIOS OBLIGATORIOS</t>
        </is>
      </c>
    </row>
    <row r="17" ht="32" customHeight="1">
      <c r="B17" s="25" t="n">
        <v>9</v>
      </c>
      <c r="C17" s="26" t="inlineStr">
        <is>
          <t>Jefe de Topografía: título, experiencia y carta compromiso</t>
        </is>
      </c>
      <c r="D17" s="27" t="inlineStr">
        <is>
          <t>Analista 1</t>
        </is>
      </c>
      <c r="E17" s="28" t="inlineStr">
        <is>
          <t>CRÍTICO</t>
        </is>
      </c>
      <c r="F17" s="29" t="inlineStr">
        <is>
          <t>⚠ PENDIENTE</t>
        </is>
      </c>
      <c r="G17" s="30" t="inlineStr"/>
      <c r="H17" s="31" t="inlineStr">
        <is>
          <t>Fuera de bases</t>
        </is>
      </c>
    </row>
    <row r="18" ht="32" customHeight="1">
      <c r="B18" s="32" t="n">
        <v>10</v>
      </c>
      <c r="C18" s="33" t="inlineStr">
        <is>
          <t>Profesional Residente: título, experiencia y carta compromiso</t>
        </is>
      </c>
      <c r="D18" s="34" t="inlineStr">
        <is>
          <t>Analista 1</t>
        </is>
      </c>
      <c r="E18" s="28" t="inlineStr">
        <is>
          <t>CRÍTICO</t>
        </is>
      </c>
      <c r="F18" s="29" t="inlineStr">
        <is>
          <t>⚠ PENDIENTE</t>
        </is>
      </c>
      <c r="G18" s="35" t="inlineStr"/>
      <c r="H18" s="36" t="inlineStr">
        <is>
          <t>Fuera de bases</t>
        </is>
      </c>
    </row>
    <row r="19" ht="32" customHeight="1">
      <c r="B19" s="25" t="n">
        <v>11</v>
      </c>
      <c r="C19" s="26" t="inlineStr">
        <is>
          <t>Jefe de Laboratorio: título, certificaciones y experiencia</t>
        </is>
      </c>
      <c r="D19" s="27" t="inlineStr">
        <is>
          <t>Analista 1</t>
        </is>
      </c>
      <c r="E19" s="28" t="inlineStr">
        <is>
          <t>CRÍTICO</t>
        </is>
      </c>
      <c r="F19" s="29" t="inlineStr">
        <is>
          <t>⚠ PENDIENTE</t>
        </is>
      </c>
      <c r="G19" s="30" t="inlineStr"/>
      <c r="H19" s="31" t="inlineStr">
        <is>
          <t>Fuera de bases</t>
        </is>
      </c>
    </row>
    <row r="20" ht="32" customHeight="1">
      <c r="B20" s="32" t="n">
        <v>12</v>
      </c>
      <c r="C20" s="33" t="inlineStr">
        <is>
          <t>Prevencionista: título, exp. en obras viales y disponibilidad horaria</t>
        </is>
      </c>
      <c r="D20" s="34" t="inlineStr">
        <is>
          <t>Analista 2</t>
        </is>
      </c>
      <c r="E20" s="28" t="inlineStr">
        <is>
          <t>CRÍTICO</t>
        </is>
      </c>
      <c r="F20" s="29" t="inlineStr">
        <is>
          <t>⚠ PENDIENTE</t>
        </is>
      </c>
      <c r="G20" s="35" t="inlineStr"/>
      <c r="H20" s="36" t="inlineStr">
        <is>
          <t>Fuera de bases</t>
        </is>
      </c>
    </row>
    <row r="21" ht="32" customHeight="1">
      <c r="B21" s="25" t="n">
        <v>13</v>
      </c>
      <c r="C21" s="26" t="inlineStr">
        <is>
          <t>Encargado de Calidad: título y experiencia en sistemas de calidad</t>
        </is>
      </c>
      <c r="D21" s="27" t="inlineStr">
        <is>
          <t>Analista 2</t>
        </is>
      </c>
      <c r="E21" s="37" t="inlineStr">
        <is>
          <t>ALTO</t>
        </is>
      </c>
      <c r="F21" s="29" t="inlineStr">
        <is>
          <t>⚠ PENDIENTE</t>
        </is>
      </c>
      <c r="G21" s="30" t="inlineStr"/>
      <c r="H21" s="31" t="inlineStr">
        <is>
          <t>Puntaje</t>
        </is>
      </c>
    </row>
    <row r="22" ht="32" customHeight="1">
      <c r="B22" s="32" t="n">
        <v>14</v>
      </c>
      <c r="C22" s="33" t="inlineStr">
        <is>
          <t>Encargado Ambiental: título y experiencia en proyectos viales</t>
        </is>
      </c>
      <c r="D22" s="34" t="inlineStr">
        <is>
          <t>Analista 2</t>
        </is>
      </c>
      <c r="E22" s="37" t="inlineStr">
        <is>
          <t>ALTO</t>
        </is>
      </c>
      <c r="F22" s="29" t="inlineStr">
        <is>
          <t>⚠ PENDIENTE</t>
        </is>
      </c>
      <c r="G22" s="35" t="inlineStr"/>
      <c r="H22" s="36" t="inlineStr">
        <is>
          <t>Puntaje</t>
        </is>
      </c>
    </row>
    <row r="23" ht="32" customHeight="1">
      <c r="B23" s="25" t="n">
        <v>15</v>
      </c>
      <c r="C23" s="26" t="inlineStr">
        <is>
          <t>Revisar que profesionales opcionales incluidos también tienen carta compromiso</t>
        </is>
      </c>
      <c r="D23" s="27" t="inlineStr">
        <is>
          <t>Analista 1</t>
        </is>
      </c>
      <c r="E23" s="37" t="inlineStr">
        <is>
          <t>ALTO</t>
        </is>
      </c>
      <c r="F23" s="29" t="inlineStr">
        <is>
          <t>⚠ PENDIENTE</t>
        </is>
      </c>
      <c r="G23" s="30" t="inlineStr"/>
      <c r="H23" s="31" t="inlineStr">
        <is>
          <t>Consistencia</t>
        </is>
      </c>
    </row>
    <row r="25" ht="20" customHeight="1">
      <c r="B25" s="24" t="inlineStr">
        <is>
          <t xml:space="preserve">  ▶  C. REVISIÓN CRUZADA DE CV</t>
        </is>
      </c>
    </row>
    <row r="26" ht="32" customHeight="1">
      <c r="B26" s="25" t="n">
        <v>16</v>
      </c>
      <c r="C26" s="26" t="inlineStr">
        <is>
          <t>Comparar años de experiencia declarados vs fechas de contratos del CV</t>
        </is>
      </c>
      <c r="D26" s="27" t="inlineStr">
        <is>
          <t>Analista 2</t>
        </is>
      </c>
      <c r="E26" s="28" t="inlineStr">
        <is>
          <t>CRÍTICO</t>
        </is>
      </c>
      <c r="F26" s="29" t="inlineStr">
        <is>
          <t>⚠ PENDIENTE</t>
        </is>
      </c>
      <c r="G26" s="30" t="inlineStr"/>
      <c r="H26" s="31" t="inlineStr">
        <is>
          <t>Consistencia</t>
        </is>
      </c>
    </row>
    <row r="27" ht="32" customHeight="1">
      <c r="B27" s="32" t="n">
        <v>17</v>
      </c>
      <c r="C27" s="33" t="inlineStr">
        <is>
          <t>Verificar que no hay solapamiento imposible de contratos simultáneos</t>
        </is>
      </c>
      <c r="D27" s="34" t="inlineStr">
        <is>
          <t>Analista 2</t>
        </is>
      </c>
      <c r="E27" s="37" t="inlineStr">
        <is>
          <t>ALTO</t>
        </is>
      </c>
      <c r="F27" s="29" t="inlineStr">
        <is>
          <t>⚠ PENDIENTE</t>
        </is>
      </c>
      <c r="G27" s="35" t="inlineStr"/>
      <c r="H27" s="36" t="inlineStr">
        <is>
          <t>Riesgo</t>
        </is>
      </c>
    </row>
    <row r="28" ht="32" customHeight="1">
      <c r="B28" s="25" t="n">
        <v>18</v>
      </c>
      <c r="C28" s="26" t="inlineStr">
        <is>
          <t>Confirmar que los contratos declarados como ITO/Asesoría no sean de ejecución</t>
        </is>
      </c>
      <c r="D28" s="27" t="inlineStr">
        <is>
          <t>Analista 1</t>
        </is>
      </c>
      <c r="E28" s="37" t="inlineStr">
        <is>
          <t>ALTO</t>
        </is>
      </c>
      <c r="F28" s="29" t="inlineStr">
        <is>
          <t>⚠ PENDIENTE</t>
        </is>
      </c>
      <c r="G28" s="30" t="inlineStr"/>
      <c r="H28" s="31" t="inlineStr">
        <is>
          <t>Riesgo</t>
        </is>
      </c>
    </row>
    <row r="29" ht="32" customHeight="1">
      <c r="B29" s="32" t="n">
        <v>19</v>
      </c>
      <c r="C29" s="33" t="inlineStr">
        <is>
          <t>Revisar que proyectos del CV son del mismo tipo al contratado (vial, etc.)</t>
        </is>
      </c>
      <c r="D29" s="34" t="inlineStr">
        <is>
          <t>Analista 1</t>
        </is>
      </c>
      <c r="E29" s="37" t="inlineStr">
        <is>
          <t>ALTO</t>
        </is>
      </c>
      <c r="F29" s="29" t="inlineStr">
        <is>
          <t>⚠ PENDIENTE</t>
        </is>
      </c>
      <c r="G29" s="35" t="inlineStr"/>
      <c r="H29" s="36" t="inlineStr">
        <is>
          <t>Puntaje</t>
        </is>
      </c>
    </row>
    <row r="30" ht="32" customHeight="1">
      <c r="B30" s="25" t="n">
        <v>20</v>
      </c>
      <c r="C30" s="26" t="inlineStr">
        <is>
          <t>Verificar que montos o km de proyectos cumplen umbrales mínimos si aplica</t>
        </is>
      </c>
      <c r="D30" s="27" t="inlineStr">
        <is>
          <t>Analista 1</t>
        </is>
      </c>
      <c r="E30" s="37" t="inlineStr">
        <is>
          <t>ALTO</t>
        </is>
      </c>
      <c r="F30" s="29" t="inlineStr">
        <is>
          <t>⚠ PENDIENTE</t>
        </is>
      </c>
      <c r="G30" s="30" t="inlineStr"/>
      <c r="H30" s="31" t="inlineStr">
        <is>
          <t>Puntaje</t>
        </is>
      </c>
    </row>
    <row r="31" ht="32" customHeight="1">
      <c r="B31" s="32" t="n">
        <v>21</v>
      </c>
      <c r="C31" s="33" t="inlineStr">
        <is>
          <t>Asegurarse que el CV tiene firma del profesional si las bases lo exigen</t>
        </is>
      </c>
      <c r="D31" s="34" t="inlineStr">
        <is>
          <t>Analista 2</t>
        </is>
      </c>
      <c r="E31" s="38" t="inlineStr">
        <is>
          <t>MEDIO</t>
        </is>
      </c>
      <c r="F31" s="29" t="inlineStr">
        <is>
          <t>⚠ PENDIENTE</t>
        </is>
      </c>
      <c r="G31" s="35" t="inlineStr"/>
      <c r="H31" s="36" t="inlineStr">
        <is>
          <t>Formal</t>
        </is>
      </c>
    </row>
    <row r="32" ht="32" customHeight="1">
      <c r="B32" s="25" t="n">
        <v>22</v>
      </c>
      <c r="C32" s="26" t="inlineStr">
        <is>
          <t>Conclusión por cada CV: Cumple / Cumple con riesgo / No cumple</t>
        </is>
      </c>
      <c r="D32" s="27" t="inlineStr">
        <is>
          <t>Analista 2</t>
        </is>
      </c>
      <c r="E32" s="28" t="inlineStr">
        <is>
          <t>CRÍTICO</t>
        </is>
      </c>
      <c r="F32" s="29" t="inlineStr">
        <is>
          <t>⚠ PENDIENTE</t>
        </is>
      </c>
      <c r="G32" s="30" t="inlineStr"/>
      <c r="H32" s="31" t="inlineStr">
        <is>
          <t>Control</t>
        </is>
      </c>
    </row>
    <row r="34" ht="20" customHeight="1">
      <c r="B34" s="24" t="inlineStr">
        <is>
          <t xml:space="preserve">  ▶  D. CONTROL DE CARTAS COMPROMISO</t>
        </is>
      </c>
    </row>
    <row r="35" ht="32" customHeight="1">
      <c r="B35" s="25" t="n">
        <v>23</v>
      </c>
      <c r="C35" s="26" t="inlineStr">
        <is>
          <t>Carta firmada, con nombre completo, RUT y fecha</t>
        </is>
      </c>
      <c r="D35" s="27" t="inlineStr">
        <is>
          <t>Analista 1</t>
        </is>
      </c>
      <c r="E35" s="28" t="inlineStr">
        <is>
          <t>CRÍTICO</t>
        </is>
      </c>
      <c r="F35" s="29" t="inlineStr">
        <is>
          <t>⚠ PENDIENTE</t>
        </is>
      </c>
      <c r="G35" s="30" t="inlineStr"/>
      <c r="H35" s="31" t="inlineStr">
        <is>
          <t>Fuera de bases</t>
        </is>
      </c>
    </row>
    <row r="36" ht="32" customHeight="1">
      <c r="B36" s="32" t="n">
        <v>24</v>
      </c>
      <c r="C36" s="33" t="inlineStr">
        <is>
          <t>Vigencia de la carta dentro del plazo exigido por bases</t>
        </is>
      </c>
      <c r="D36" s="34" t="inlineStr">
        <is>
          <t>Analista 1</t>
        </is>
      </c>
      <c r="E36" s="28" t="inlineStr">
        <is>
          <t>CRÍTICO</t>
        </is>
      </c>
      <c r="F36" s="29" t="inlineStr">
        <is>
          <t>⚠ PENDIENTE</t>
        </is>
      </c>
      <c r="G36" s="35" t="inlineStr"/>
      <c r="H36" s="36" t="inlineStr">
        <is>
          <t>Fuera de bases</t>
        </is>
      </c>
    </row>
    <row r="37" ht="32" customHeight="1">
      <c r="B37" s="25" t="n">
        <v>25</v>
      </c>
      <c r="C37" s="26" t="inlineStr">
        <is>
          <t>La carta nombra expresamente el contrato/licitación correcto</t>
        </is>
      </c>
      <c r="D37" s="27" t="inlineStr">
        <is>
          <t>Analista 2</t>
        </is>
      </c>
      <c r="E37" s="37" t="inlineStr">
        <is>
          <t>ALTO</t>
        </is>
      </c>
      <c r="F37" s="29" t="inlineStr">
        <is>
          <t>⚠ PENDIENTE</t>
        </is>
      </c>
      <c r="G37" s="30" t="inlineStr"/>
      <c r="H37" s="31" t="inlineStr">
        <is>
          <t>Consistencia</t>
        </is>
      </c>
    </row>
    <row r="38" ht="32" customHeight="1">
      <c r="B38" s="32" t="n">
        <v>26</v>
      </c>
      <c r="C38" s="33" t="inlineStr">
        <is>
          <t>Dedicación horaria declarada coincide con lo exigido</t>
        </is>
      </c>
      <c r="D38" s="34" t="inlineStr">
        <is>
          <t>Analista 2</t>
        </is>
      </c>
      <c r="E38" s="37" t="inlineStr">
        <is>
          <t>ALTO</t>
        </is>
      </c>
      <c r="F38" s="29" t="inlineStr">
        <is>
          <t>⚠ PENDIENTE</t>
        </is>
      </c>
      <c r="G38" s="35" t="inlineStr"/>
      <c r="H38" s="36" t="inlineStr">
        <is>
          <t>Req. bases</t>
        </is>
      </c>
    </row>
    <row r="39" ht="32" customHeight="1">
      <c r="B39" s="25" t="n">
        <v>27</v>
      </c>
      <c r="C39" s="26" t="inlineStr">
        <is>
          <t>No hay incompatibilidad con compromisos en otros contratos vigentes</t>
        </is>
      </c>
      <c r="D39" s="27" t="inlineStr">
        <is>
          <t>Jefe Propuesta</t>
        </is>
      </c>
      <c r="E39" s="37" t="inlineStr">
        <is>
          <t>ALTO</t>
        </is>
      </c>
      <c r="F39" s="29" t="inlineStr">
        <is>
          <t>⚠ PENDIENTE</t>
        </is>
      </c>
      <c r="G39" s="30" t="inlineStr"/>
      <c r="H39" s="31" t="inlineStr">
        <is>
          <t>Riesgo ético</t>
        </is>
      </c>
    </row>
  </sheetData>
  <mergeCells count="6">
    <mergeCell ref="B4:H4"/>
    <mergeCell ref="B6:H6"/>
    <mergeCell ref="B16:H16"/>
    <mergeCell ref="B2:H2"/>
    <mergeCell ref="B25:H25"/>
    <mergeCell ref="B34:H34"/>
  </mergeCells>
  <conditionalFormatting sqref="F6:F41">
    <cfRule type="expression" priority="1" dxfId="0">
      <formula>NOT(ISERROR(SEARCH("CUMPLE",F6)))</formula>
    </cfRule>
    <cfRule type="expression" priority="2" dxfId="1">
      <formula>NOT(ISERROR(SEARCH("NO CUMPLE",F6)))</formula>
    </cfRule>
    <cfRule type="expression" priority="3" dxfId="2">
      <formula>NOT(ISERROR(SEARCH("PENDIENTE",F6)))</formula>
    </cfRule>
  </conditionalFormatting>
  <dataValidations count="1">
    <dataValidation sqref="F7 F8 F9 F10 F11 F12 F13 F14 F17 F18 F19 F20 F21 F22 F23 F26 F27 F28 F29 F30 F31 F32 F35 F36 F37 F38 F39" showDropDown="0" showInputMessage="0" showErrorMessage="0" allowBlank="1" type="list">
      <formula1>"✓ CUMPLE,⚠ PENDIENTE,✗ NO CUMPLE,N/A"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48" customWidth="1" min="3" max="3"/>
    <col width="16" customWidth="1" min="4" max="4"/>
    <col width="11" customWidth="1" min="5" max="5"/>
    <col width="14" customWidth="1" min="6" max="6"/>
    <col width="30" customWidth="1" min="7" max="7"/>
    <col width="11" customWidth="1" min="8" max="8"/>
  </cols>
  <sheetData>
    <row r="1" ht="6" customHeight="1"/>
    <row r="2" ht="28" customHeight="1">
      <c r="B2" s="39" t="inlineStr">
        <is>
          <t>METODOLOGIA</t>
        </is>
      </c>
    </row>
    <row r="3" ht="6" customHeight="1">
      <c r="H3">
        <f>COUNTIF(F6:F500,"✓ CUMPLE")</f>
        <v/>
      </c>
    </row>
    <row r="4" ht="16" customHeight="1">
      <c r="B4" s="23" t="inlineStr">
        <is>
          <t>Completa el Estado con el dropdown. Agrega observaciones y evidencias en columna G.</t>
        </is>
      </c>
    </row>
    <row r="5" ht="32" customHeight="1">
      <c r="B5" s="40" t="inlineStr">
        <is>
          <t>#</t>
        </is>
      </c>
      <c r="C5" s="40" t="inlineStr">
        <is>
          <t>ÍTEM / REQUISITO A VERIFICAR</t>
        </is>
      </c>
      <c r="D5" s="40" t="inlineStr">
        <is>
          <t>RESPONSABLE</t>
        </is>
      </c>
      <c r="E5" s="40" t="inlineStr">
        <is>
          <t>PRIORIDAD</t>
        </is>
      </c>
      <c r="F5" s="40" t="inlineStr">
        <is>
          <t>ESTADO</t>
        </is>
      </c>
      <c r="G5" s="40" t="inlineStr">
        <is>
          <t>OBSERVACIÓN / EVIDENCIA</t>
        </is>
      </c>
      <c r="H5" s="40" t="inlineStr">
        <is>
          <t>REF.
BASES</t>
        </is>
      </c>
    </row>
    <row r="6" ht="20" customHeight="1">
      <c r="B6" s="24" t="inlineStr">
        <is>
          <t xml:space="preserve">  ▶  A. ESTRUCTURA Y COHERENCIA</t>
        </is>
      </c>
    </row>
    <row r="7" ht="32" customHeight="1">
      <c r="B7" s="25" t="n">
        <v>1</v>
      </c>
      <c r="C7" s="26" t="inlineStr">
        <is>
          <t>La metodología está estructurada según los ítems evaluados en bases</t>
        </is>
      </c>
      <c r="D7" s="27" t="inlineStr">
        <is>
          <t>Jefe Propuesta</t>
        </is>
      </c>
      <c r="E7" s="28" t="inlineStr">
        <is>
          <t>CRÍTICO</t>
        </is>
      </c>
      <c r="F7" s="29" t="inlineStr">
        <is>
          <t>⚠ PENDIENTE</t>
        </is>
      </c>
      <c r="G7" s="30" t="inlineStr"/>
      <c r="H7" s="31" t="inlineStr">
        <is>
          <t>Puntaje</t>
        </is>
      </c>
    </row>
    <row r="8" ht="32" customHeight="1">
      <c r="B8" s="32" t="n">
        <v>2</v>
      </c>
      <c r="C8" s="33" t="inlineStr">
        <is>
          <t>Cada sección responde a un criterio específico de las bases (no genérica)</t>
        </is>
      </c>
      <c r="D8" s="34" t="inlineStr">
        <is>
          <t>Jefe Propuesta</t>
        </is>
      </c>
      <c r="E8" s="28" t="inlineStr">
        <is>
          <t>CRÍTICO</t>
        </is>
      </c>
      <c r="F8" s="29" t="inlineStr">
        <is>
          <t>⚠ PENDIENTE</t>
        </is>
      </c>
      <c r="G8" s="35" t="inlineStr"/>
      <c r="H8" s="36" t="inlineStr">
        <is>
          <t>Puntaje</t>
        </is>
      </c>
    </row>
    <row r="9" ht="32" customHeight="1">
      <c r="B9" s="25" t="n">
        <v>3</v>
      </c>
      <c r="C9" s="26" t="inlineStr">
        <is>
          <t>No hay texto reciclado de otras propuestas sin adaptación al contrato</t>
        </is>
      </c>
      <c r="D9" s="27" t="inlineStr">
        <is>
          <t>Analista 1</t>
        </is>
      </c>
      <c r="E9" s="28" t="inlineStr">
        <is>
          <t>CRÍTICO</t>
        </is>
      </c>
      <c r="F9" s="29" t="inlineStr">
        <is>
          <t>⚠ PENDIENTE</t>
        </is>
      </c>
      <c r="G9" s="30" t="inlineStr"/>
      <c r="H9" s="31" t="inlineStr">
        <is>
          <t>Riesgo descuento</t>
        </is>
      </c>
    </row>
    <row r="10" ht="32" customHeight="1">
      <c r="B10" s="32" t="n">
        <v>4</v>
      </c>
      <c r="C10" s="33" t="inlineStr">
        <is>
          <t>Se menciona el nombre del contrato, mandante y zona geográfica correcta</t>
        </is>
      </c>
      <c r="D10" s="34" t="inlineStr">
        <is>
          <t>Analista 2</t>
        </is>
      </c>
      <c r="E10" s="37" t="inlineStr">
        <is>
          <t>ALTO</t>
        </is>
      </c>
      <c r="F10" s="29" t="inlineStr">
        <is>
          <t>⚠ PENDIENTE</t>
        </is>
      </c>
      <c r="G10" s="35" t="inlineStr"/>
      <c r="H10" s="36" t="inlineStr">
        <is>
          <t>Consistencia</t>
        </is>
      </c>
    </row>
    <row r="11" ht="32" customHeight="1">
      <c r="B11" s="25" t="n">
        <v>5</v>
      </c>
      <c r="C11" s="26" t="inlineStr">
        <is>
          <t>La extensión cumple los límites de páginas si las bases lo establecen</t>
        </is>
      </c>
      <c r="D11" s="27" t="inlineStr">
        <is>
          <t>Analista 1</t>
        </is>
      </c>
      <c r="E11" s="37" t="inlineStr">
        <is>
          <t>ALTO</t>
        </is>
      </c>
      <c r="F11" s="29" t="inlineStr">
        <is>
          <t>⚠ PENDIENTE</t>
        </is>
      </c>
      <c r="G11" s="30" t="inlineStr"/>
      <c r="H11" s="31" t="inlineStr">
        <is>
          <t>Req. bases</t>
        </is>
      </c>
    </row>
    <row r="12" ht="32" customHeight="1">
      <c r="B12" s="32" t="n">
        <v>6</v>
      </c>
      <c r="C12" s="33" t="inlineStr">
        <is>
          <t>El índice de la metodología coincide con el contenido real</t>
        </is>
      </c>
      <c r="D12" s="34" t="inlineStr">
        <is>
          <t>Analista 2</t>
        </is>
      </c>
      <c r="E12" s="37" t="inlineStr">
        <is>
          <t>ALTO</t>
        </is>
      </c>
      <c r="F12" s="29" t="inlineStr">
        <is>
          <t>⚠ PENDIENTE</t>
        </is>
      </c>
      <c r="G12" s="35" t="inlineStr"/>
      <c r="H12" s="36" t="inlineStr">
        <is>
          <t>Consistencia</t>
        </is>
      </c>
    </row>
    <row r="14" ht="20" customHeight="1">
      <c r="B14" s="24" t="inlineStr">
        <is>
          <t xml:space="preserve">  ▶  B. CONTENIDO TÉCNICO EXIGIDO</t>
        </is>
      </c>
    </row>
    <row r="15" ht="32" customHeight="1">
      <c r="B15" s="25" t="n">
        <v>7</v>
      </c>
      <c r="C15" s="26" t="inlineStr">
        <is>
          <t>Se describe el enfoque y estrategia de trabajo del equipo ITO/asesoría</t>
        </is>
      </c>
      <c r="D15" s="27" t="inlineStr">
        <is>
          <t>Jefe Propuesta</t>
        </is>
      </c>
      <c r="E15" s="28" t="inlineStr">
        <is>
          <t>CRÍTICO</t>
        </is>
      </c>
      <c r="F15" s="29" t="inlineStr">
        <is>
          <t>⚠ PENDIENTE</t>
        </is>
      </c>
      <c r="G15" s="30" t="inlineStr"/>
      <c r="H15" s="31" t="inlineStr">
        <is>
          <t>Puntaje</t>
        </is>
      </c>
    </row>
    <row r="16" ht="32" customHeight="1">
      <c r="B16" s="32" t="n">
        <v>8</v>
      </c>
      <c r="C16" s="33" t="inlineStr">
        <is>
          <t>Se incluye organigrama del equipo con líneas de dependencia y cargos</t>
        </is>
      </c>
      <c r="D16" s="34" t="inlineStr">
        <is>
          <t>Analista 1</t>
        </is>
      </c>
      <c r="E16" s="37" t="inlineStr">
        <is>
          <t>ALTO</t>
        </is>
      </c>
      <c r="F16" s="29" t="inlineStr">
        <is>
          <t>⚠ PENDIENTE</t>
        </is>
      </c>
      <c r="G16" s="35" t="inlineStr"/>
      <c r="H16" s="36" t="inlineStr">
        <is>
          <t>Puntaje</t>
        </is>
      </c>
    </row>
    <row r="17" ht="32" customHeight="1">
      <c r="B17" s="25" t="n">
        <v>9</v>
      </c>
      <c r="C17" s="26" t="inlineStr">
        <is>
          <t>Se detalla sistema de control de calidad de obras propuesto</t>
        </is>
      </c>
      <c r="D17" s="27" t="inlineStr">
        <is>
          <t>Jefe Propuesta</t>
        </is>
      </c>
      <c r="E17" s="37" t="inlineStr">
        <is>
          <t>ALTO</t>
        </is>
      </c>
      <c r="F17" s="29" t="inlineStr">
        <is>
          <t>⚠ PENDIENTE</t>
        </is>
      </c>
      <c r="G17" s="30" t="inlineStr"/>
      <c r="H17" s="31" t="inlineStr">
        <is>
          <t>Puntaje calidad</t>
        </is>
      </c>
    </row>
    <row r="18" ht="32" customHeight="1">
      <c r="B18" s="32" t="n">
        <v>10</v>
      </c>
      <c r="C18" s="33" t="inlineStr">
        <is>
          <t>Se describe sistema de reportes, informes y trazabilidad documental</t>
        </is>
      </c>
      <c r="D18" s="34" t="inlineStr">
        <is>
          <t>Analista 1</t>
        </is>
      </c>
      <c r="E18" s="37" t="inlineStr">
        <is>
          <t>ALTO</t>
        </is>
      </c>
      <c r="F18" s="29" t="inlineStr">
        <is>
          <t>⚠ PENDIENTE</t>
        </is>
      </c>
      <c r="G18" s="35" t="inlineStr"/>
      <c r="H18" s="36" t="inlineStr">
        <is>
          <t>Puntaje</t>
        </is>
      </c>
    </row>
    <row r="19" ht="32" customHeight="1">
      <c r="B19" s="25" t="n">
        <v>11</v>
      </c>
      <c r="C19" s="26" t="inlineStr">
        <is>
          <t>Se incluye plan de comunicaciones con la IF / mandante</t>
        </is>
      </c>
      <c r="D19" s="27" t="inlineStr">
        <is>
          <t>Analista 2</t>
        </is>
      </c>
      <c r="E19" s="37" t="inlineStr">
        <is>
          <t>ALTO</t>
        </is>
      </c>
      <c r="F19" s="29" t="inlineStr">
        <is>
          <t>⚠ PENDIENTE</t>
        </is>
      </c>
      <c r="G19" s="30" t="inlineStr"/>
      <c r="H19" s="31" t="inlineStr">
        <is>
          <t>Puntaje</t>
        </is>
      </c>
    </row>
    <row r="20" ht="32" customHeight="1">
      <c r="B20" s="32" t="n">
        <v>12</v>
      </c>
      <c r="C20" s="33" t="inlineStr">
        <is>
          <t>Se describe gestión de riesgos del contrato</t>
        </is>
      </c>
      <c r="D20" s="34" t="inlineStr">
        <is>
          <t>Analista 2</t>
        </is>
      </c>
      <c r="E20" s="38" t="inlineStr">
        <is>
          <t>MEDIO</t>
        </is>
      </c>
      <c r="F20" s="29" t="inlineStr">
        <is>
          <t>⚠ PENDIENTE</t>
        </is>
      </c>
      <c r="G20" s="35" t="inlineStr"/>
      <c r="H20" s="36" t="inlineStr">
        <is>
          <t>Puntaje</t>
        </is>
      </c>
    </row>
    <row r="21" ht="32" customHeight="1">
      <c r="B21" s="25" t="n">
        <v>13</v>
      </c>
      <c r="C21" s="26" t="inlineStr">
        <is>
          <t>Se incluye plan de seguridad y prevención (si es exigido)</t>
        </is>
      </c>
      <c r="D21" s="27" t="inlineStr">
        <is>
          <t>Analista 2</t>
        </is>
      </c>
      <c r="E21" s="37" t="inlineStr">
        <is>
          <t>ALTO</t>
        </is>
      </c>
      <c r="F21" s="29" t="inlineStr">
        <is>
          <t>⚠ PENDIENTE</t>
        </is>
      </c>
      <c r="G21" s="30" t="inlineStr"/>
      <c r="H21" s="31" t="inlineStr">
        <is>
          <t>Req. bases</t>
        </is>
      </c>
    </row>
    <row r="22" ht="32" customHeight="1">
      <c r="B22" s="32" t="n">
        <v>14</v>
      </c>
      <c r="C22" s="33" t="inlineStr">
        <is>
          <t>Se referencia normativa vigente aplicable (MOP, DS 132, ISO, etc.)</t>
        </is>
      </c>
      <c r="D22" s="34" t="inlineStr">
        <is>
          <t>Analista 1</t>
        </is>
      </c>
      <c r="E22" s="37" t="inlineStr">
        <is>
          <t>ALTO</t>
        </is>
      </c>
      <c r="F22" s="29" t="inlineStr">
        <is>
          <t>⚠ PENDIENTE</t>
        </is>
      </c>
      <c r="G22" s="35" t="inlineStr"/>
      <c r="H22" s="36" t="inlineStr">
        <is>
          <t>Puntaje técnico</t>
        </is>
      </c>
    </row>
    <row r="23" ht="32" customHeight="1">
      <c r="B23" s="25" t="n">
        <v>15</v>
      </c>
      <c r="C23" s="26" t="inlineStr">
        <is>
          <t>Se describe protocolo de control de documentos en terreno</t>
        </is>
      </c>
      <c r="D23" s="27" t="inlineStr">
        <is>
          <t>Analista 2</t>
        </is>
      </c>
      <c r="E23" s="38" t="inlineStr">
        <is>
          <t>MEDIO</t>
        </is>
      </c>
      <c r="F23" s="29" t="inlineStr">
        <is>
          <t>⚠ PENDIENTE</t>
        </is>
      </c>
      <c r="G23" s="30" t="inlineStr"/>
      <c r="H23" s="31" t="inlineStr">
        <is>
          <t>Puntaje calidad</t>
        </is>
      </c>
    </row>
    <row r="25" ht="20" customHeight="1">
      <c r="B25" s="24" t="inlineStr">
        <is>
          <t xml:space="preserve">  ▶  C. DIFERENCIACIÓN Y VALOR AGREGADO</t>
        </is>
      </c>
    </row>
    <row r="26" ht="32" customHeight="1">
      <c r="B26" s="25" t="n">
        <v>16</v>
      </c>
      <c r="C26" s="26" t="inlineStr">
        <is>
          <t>Se propone al menos un elemento diferenciador no solicitado pero valorizable</t>
        </is>
      </c>
      <c r="D26" s="27" t="inlineStr">
        <is>
          <t>Jefe Propuesta</t>
        </is>
      </c>
      <c r="E26" s="38" t="inlineStr">
        <is>
          <t>MEDIO</t>
        </is>
      </c>
      <c r="F26" s="29" t="inlineStr">
        <is>
          <t>⚠ PENDIENTE</t>
        </is>
      </c>
      <c r="G26" s="30" t="inlineStr"/>
      <c r="H26" s="31" t="inlineStr">
        <is>
          <t>Ventaja</t>
        </is>
      </c>
    </row>
    <row r="27" ht="32" customHeight="1">
      <c r="B27" s="32" t="n">
        <v>17</v>
      </c>
      <c r="C27" s="33" t="inlineStr">
        <is>
          <t>Se describe experiencia previa del equipo en contratos similares</t>
        </is>
      </c>
      <c r="D27" s="34" t="inlineStr">
        <is>
          <t>Jefe Propuesta</t>
        </is>
      </c>
      <c r="E27" s="37" t="inlineStr">
        <is>
          <t>ALTO</t>
        </is>
      </c>
      <c r="F27" s="29" t="inlineStr">
        <is>
          <t>⚠ PENDIENTE</t>
        </is>
      </c>
      <c r="G27" s="35" t="inlineStr"/>
      <c r="H27" s="36" t="inlineStr">
        <is>
          <t>Puntaje</t>
        </is>
      </c>
    </row>
    <row r="28" ht="32" customHeight="1">
      <c r="B28" s="25" t="n">
        <v>18</v>
      </c>
      <c r="C28" s="26" t="inlineStr">
        <is>
          <t>Se usa lenguaje alineado con el glosario y terminología de las bases</t>
        </is>
      </c>
      <c r="D28" s="27" t="inlineStr">
        <is>
          <t>Analista 1</t>
        </is>
      </c>
      <c r="E28" s="37" t="inlineStr">
        <is>
          <t>ALTO</t>
        </is>
      </c>
      <c r="F28" s="29" t="inlineStr">
        <is>
          <t>⚠ PENDIENTE</t>
        </is>
      </c>
      <c r="G28" s="30" t="inlineStr"/>
      <c r="H28" s="31" t="inlineStr">
        <is>
          <t>Coherencia</t>
        </is>
      </c>
    </row>
    <row r="29" ht="32" customHeight="1">
      <c r="B29" s="32" t="n">
        <v>19</v>
      </c>
      <c r="C29" s="33" t="inlineStr">
        <is>
          <t>No se usan normas no aplicables al tipo de contrato (ej: ejecución en ITO)</t>
        </is>
      </c>
      <c r="D29" s="34" t="inlineStr">
        <is>
          <t>Analista 1</t>
        </is>
      </c>
      <c r="E29" s="37" t="inlineStr">
        <is>
          <t>ALTO</t>
        </is>
      </c>
      <c r="F29" s="29" t="inlineStr">
        <is>
          <t>⚠ PENDIENTE</t>
        </is>
      </c>
      <c r="G29" s="35" t="inlineStr"/>
      <c r="H29" s="36" t="inlineStr">
        <is>
          <t>Riesgo descuento</t>
        </is>
      </c>
    </row>
    <row r="30" ht="32" customHeight="1">
      <c r="B30" s="25" t="n">
        <v>20</v>
      </c>
      <c r="C30" s="26" t="inlineStr">
        <is>
          <t>Se incluye descripción de herramientas de gestión (software, BIM, GPS, etc.) si aplica</t>
        </is>
      </c>
      <c r="D30" s="27" t="inlineStr">
        <is>
          <t>Analista 2</t>
        </is>
      </c>
      <c r="E30" s="38" t="inlineStr">
        <is>
          <t>MEDIO</t>
        </is>
      </c>
      <c r="F30" s="29" t="inlineStr">
        <is>
          <t>⚠ PENDIENTE</t>
        </is>
      </c>
      <c r="G30" s="30" t="inlineStr"/>
      <c r="H30" s="31" t="inlineStr">
        <is>
          <t>Valor agregado</t>
        </is>
      </c>
    </row>
  </sheetData>
  <mergeCells count="5">
    <mergeCell ref="B14:H14"/>
    <mergeCell ref="B4:H4"/>
    <mergeCell ref="B6:H6"/>
    <mergeCell ref="B2:H2"/>
    <mergeCell ref="B25:H25"/>
  </mergeCells>
  <conditionalFormatting sqref="F6:F32">
    <cfRule type="expression" priority="1" dxfId="0">
      <formula>NOT(ISERROR(SEARCH("CUMPLE",F6)))</formula>
    </cfRule>
    <cfRule type="expression" priority="2" dxfId="1">
      <formula>NOT(ISERROR(SEARCH("NO CUMPLE",F6)))</formula>
    </cfRule>
    <cfRule type="expression" priority="3" dxfId="2">
      <formula>NOT(ISERROR(SEARCH("PENDIENTE",F6)))</formula>
    </cfRule>
  </conditionalFormatting>
  <dataValidations count="1">
    <dataValidation sqref="F7 F8 F9 F10 F11 F12 F15 F16 F17 F18 F19 F20 F21 F22 F23 F26 F27 F28 F29 F30" showDropDown="0" showInputMessage="0" showErrorMessage="0" allowBlank="1" type="list">
      <formula1>"✓ CUMPLE,⚠ PENDIENTE,✗ NO CUMPLE,N/A"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48" customWidth="1" min="3" max="3"/>
    <col width="16" customWidth="1" min="4" max="4"/>
    <col width="11" customWidth="1" min="5" max="5"/>
    <col width="14" customWidth="1" min="6" max="6"/>
    <col width="30" customWidth="1" min="7" max="7"/>
    <col width="11" customWidth="1" min="8" max="8"/>
  </cols>
  <sheetData>
    <row r="1" ht="6" customHeight="1"/>
    <row r="2" ht="28" customHeight="1">
      <c r="B2" s="41" t="inlineStr">
        <is>
          <t>ECONOMICA</t>
        </is>
      </c>
    </row>
    <row r="3" ht="6" customHeight="1">
      <c r="H3">
        <f>COUNTIF(F6:F500,"✓ CUMPLE")</f>
        <v/>
      </c>
    </row>
    <row r="4" ht="16" customHeight="1">
      <c r="B4" s="23" t="inlineStr">
        <is>
          <t>Completa el Estado con el dropdown. Agrega observaciones y evidencias en columna G.</t>
        </is>
      </c>
    </row>
    <row r="5" ht="32" customHeight="1">
      <c r="B5" s="42" t="inlineStr">
        <is>
          <t>#</t>
        </is>
      </c>
      <c r="C5" s="42" t="inlineStr">
        <is>
          <t>ÍTEM / REQUISITO A VERIFICAR</t>
        </is>
      </c>
      <c r="D5" s="42" t="inlineStr">
        <is>
          <t>RESPONSABLE</t>
        </is>
      </c>
      <c r="E5" s="42" t="inlineStr">
        <is>
          <t>PRIORIDAD</t>
        </is>
      </c>
      <c r="F5" s="42" t="inlineStr">
        <is>
          <t>ESTADO</t>
        </is>
      </c>
      <c r="G5" s="42" t="inlineStr">
        <is>
          <t>OBSERVACIÓN / EVIDENCIA</t>
        </is>
      </c>
      <c r="H5" s="42" t="inlineStr">
        <is>
          <t>REF.
BASES</t>
        </is>
      </c>
    </row>
    <row r="6" ht="20" customHeight="1">
      <c r="B6" s="24" t="inlineStr">
        <is>
          <t xml:space="preserve">  ▶  A. ARITMÉTICA Y CONSISTENCIA</t>
        </is>
      </c>
    </row>
    <row r="7" ht="32" customHeight="1">
      <c r="B7" s="25" t="n">
        <v>1</v>
      </c>
      <c r="C7" s="26" t="inlineStr">
        <is>
          <t>La suma de partidas coincide exactamente con el total ofertado</t>
        </is>
      </c>
      <c r="D7" s="27" t="inlineStr">
        <is>
          <t>Jefe Propuesta</t>
        </is>
      </c>
      <c r="E7" s="28" t="inlineStr">
        <is>
          <t>CRÍTICO</t>
        </is>
      </c>
      <c r="F7" s="29" t="inlineStr">
        <is>
          <t>⚠ PENDIENTE</t>
        </is>
      </c>
      <c r="G7" s="30" t="inlineStr"/>
      <c r="H7" s="31" t="inlineStr">
        <is>
          <t>Fuera de bases</t>
        </is>
      </c>
    </row>
    <row r="8" ht="32" customHeight="1">
      <c r="B8" s="32" t="n">
        <v>2</v>
      </c>
      <c r="C8" s="33" t="inlineStr">
        <is>
          <t>El IVA está correctamente calculado (19% sobre monto neto)</t>
        </is>
      </c>
      <c r="D8" s="34" t="inlineStr">
        <is>
          <t>Analista 1</t>
        </is>
      </c>
      <c r="E8" s="28" t="inlineStr">
        <is>
          <t>CRÍTICO</t>
        </is>
      </c>
      <c r="F8" s="29" t="inlineStr">
        <is>
          <t>⚠ PENDIENTE</t>
        </is>
      </c>
      <c r="G8" s="35" t="inlineStr"/>
      <c r="H8" s="36" t="inlineStr">
        <is>
          <t>Error grave</t>
        </is>
      </c>
    </row>
    <row r="9" ht="32" customHeight="1">
      <c r="B9" s="25" t="n">
        <v>3</v>
      </c>
      <c r="C9" s="26" t="inlineStr">
        <is>
          <t>Los % de GG y utilidades cuadran con los montos declarados</t>
        </is>
      </c>
      <c r="D9" s="27" t="inlineStr">
        <is>
          <t>Analista 1</t>
        </is>
      </c>
      <c r="E9" s="28" t="inlineStr">
        <is>
          <t>CRÍTICO</t>
        </is>
      </c>
      <c r="F9" s="29" t="inlineStr">
        <is>
          <t>⚠ PENDIENTE</t>
        </is>
      </c>
      <c r="G9" s="30" t="inlineStr"/>
      <c r="H9" s="31" t="inlineStr">
        <is>
          <t>Error grave</t>
        </is>
      </c>
    </row>
    <row r="10" ht="32" customHeight="1">
      <c r="B10" s="32" t="n">
        <v>4</v>
      </c>
      <c r="C10" s="33" t="inlineStr">
        <is>
          <t>Costo directo + GG + utilidades + IVA = total oferta</t>
        </is>
      </c>
      <c r="D10" s="34" t="inlineStr">
        <is>
          <t>Analista 1</t>
        </is>
      </c>
      <c r="E10" s="28" t="inlineStr">
        <is>
          <t>CRÍTICO</t>
        </is>
      </c>
      <c r="F10" s="29" t="inlineStr">
        <is>
          <t>⚠ PENDIENTE</t>
        </is>
      </c>
      <c r="G10" s="35" t="inlineStr"/>
      <c r="H10" s="36" t="inlineStr">
        <is>
          <t>Consistencia</t>
        </is>
      </c>
    </row>
    <row r="11" ht="32" customHeight="1">
      <c r="B11" s="25" t="n">
        <v>5</v>
      </c>
      <c r="C11" s="26" t="inlineStr">
        <is>
          <t>No hay errores de transcripción (números al revés, ceros extra)</t>
        </is>
      </c>
      <c r="D11" s="27" t="inlineStr">
        <is>
          <t>Analista 2</t>
        </is>
      </c>
      <c r="E11" s="28" t="inlineStr">
        <is>
          <t>CRÍTICO</t>
        </is>
      </c>
      <c r="F11" s="29" t="inlineStr">
        <is>
          <t>⚠ PENDIENTE</t>
        </is>
      </c>
      <c r="G11" s="30" t="inlineStr"/>
      <c r="H11" s="31" t="inlineStr">
        <is>
          <t>Error grave</t>
        </is>
      </c>
    </row>
    <row r="12" ht="32" customHeight="1">
      <c r="B12" s="32" t="n">
        <v>6</v>
      </c>
      <c r="C12" s="33" t="inlineStr">
        <is>
          <t>Las fechas en los documentos son anteriores al cierre de la licitación</t>
        </is>
      </c>
      <c r="D12" s="34" t="inlineStr">
        <is>
          <t>Analista 2</t>
        </is>
      </c>
      <c r="E12" s="28" t="inlineStr">
        <is>
          <t>CRÍTICO</t>
        </is>
      </c>
      <c r="F12" s="29" t="inlineStr">
        <is>
          <t>⚠ PENDIENTE</t>
        </is>
      </c>
      <c r="G12" s="35" t="inlineStr"/>
      <c r="H12" s="36" t="inlineStr">
        <is>
          <t>Inconsistencia grave</t>
        </is>
      </c>
    </row>
    <row r="14" ht="20" customHeight="1">
      <c r="B14" s="24" t="inlineStr">
        <is>
          <t xml:space="preserve">  ▶  B. CUMPLIMIENTO DE BASES ECONÓMICAS</t>
        </is>
      </c>
    </row>
    <row r="15" ht="32" customHeight="1">
      <c r="B15" s="25" t="n">
        <v>7</v>
      </c>
      <c r="C15" s="26" t="inlineStr">
        <is>
          <t>El monto no supera el presupuesto referencial publicado</t>
        </is>
      </c>
      <c r="D15" s="27" t="inlineStr">
        <is>
          <t>Jefe Propuesta</t>
        </is>
      </c>
      <c r="E15" s="28" t="inlineStr">
        <is>
          <t>CRÍTICO</t>
        </is>
      </c>
      <c r="F15" s="29" t="inlineStr">
        <is>
          <t>⚠ PENDIENTE</t>
        </is>
      </c>
      <c r="G15" s="30" t="inlineStr"/>
      <c r="H15" s="31" t="inlineStr">
        <is>
          <t>Fuera de bases</t>
        </is>
      </c>
    </row>
    <row r="16" ht="32" customHeight="1">
      <c r="B16" s="32" t="n">
        <v>8</v>
      </c>
      <c r="C16" s="33" t="inlineStr">
        <is>
          <t>Todos los formularios económicos exigidos están completados y firmados</t>
        </is>
      </c>
      <c r="D16" s="34" t="inlineStr">
        <is>
          <t>Analista 1</t>
        </is>
      </c>
      <c r="E16" s="28" t="inlineStr">
        <is>
          <t>CRÍTICO</t>
        </is>
      </c>
      <c r="F16" s="29" t="inlineStr">
        <is>
          <t>⚠ PENDIENTE</t>
        </is>
      </c>
      <c r="G16" s="35" t="inlineStr"/>
      <c r="H16" s="36" t="inlineStr">
        <is>
          <t>Fuera de bases</t>
        </is>
      </c>
    </row>
    <row r="17" ht="32" customHeight="1">
      <c r="B17" s="25" t="n">
        <v>9</v>
      </c>
      <c r="C17" s="26" t="inlineStr">
        <is>
          <t>Los precios por profesional son consistentes con el total del contrato</t>
        </is>
      </c>
      <c r="D17" s="27" t="inlineStr">
        <is>
          <t>Analista 1</t>
        </is>
      </c>
      <c r="E17" s="37" t="inlineStr">
        <is>
          <t>ALTO</t>
        </is>
      </c>
      <c r="F17" s="29" t="inlineStr">
        <is>
          <t>⚠ PENDIENTE</t>
        </is>
      </c>
      <c r="G17" s="30" t="inlineStr"/>
      <c r="H17" s="31" t="inlineStr">
        <is>
          <t>Consistencia</t>
        </is>
      </c>
    </row>
    <row r="18" ht="32" customHeight="1">
      <c r="B18" s="32" t="n">
        <v>10</v>
      </c>
      <c r="C18" s="33" t="inlineStr">
        <is>
          <t>Los valores unitarios son razonables (no subevaluados ni sobre-inflados)</t>
        </is>
      </c>
      <c r="D18" s="34" t="inlineStr">
        <is>
          <t>Jefe Propuesta</t>
        </is>
      </c>
      <c r="E18" s="37" t="inlineStr">
        <is>
          <t>ALTO</t>
        </is>
      </c>
      <c r="F18" s="29" t="inlineStr">
        <is>
          <t>⚠ PENDIENTE</t>
        </is>
      </c>
      <c r="G18" s="35" t="inlineStr"/>
      <c r="H18" s="36" t="inlineStr">
        <is>
          <t>Estrategia</t>
        </is>
      </c>
    </row>
    <row r="19" ht="32" customHeight="1">
      <c r="B19" s="25" t="n">
        <v>11</v>
      </c>
      <c r="C19" s="26" t="inlineStr">
        <is>
          <t>Se verificó que los honorarios son consistentes con el mercado</t>
        </is>
      </c>
      <c r="D19" s="27" t="inlineStr">
        <is>
          <t>Analista 2</t>
        </is>
      </c>
      <c r="E19" s="37" t="inlineStr">
        <is>
          <t>ALTO</t>
        </is>
      </c>
      <c r="F19" s="29" t="inlineStr">
        <is>
          <t>⚠ PENDIENTE</t>
        </is>
      </c>
      <c r="G19" s="30" t="inlineStr"/>
      <c r="H19" s="31" t="inlineStr">
        <is>
          <t>Credibilidad</t>
        </is>
      </c>
    </row>
    <row r="21" ht="20" customHeight="1">
      <c r="B21" s="24" t="inlineStr">
        <is>
          <t xml:space="preserve">  ▶  C. ESTRATEGIA DE PRECIO</t>
        </is>
      </c>
    </row>
    <row r="22" ht="32" customHeight="1">
      <c r="B22" s="25" t="n">
        <v>12</v>
      </c>
      <c r="C22" s="26" t="inlineStr">
        <is>
          <t>Se calculó el precio para obtener puntaje máximo según fórmula de bases</t>
        </is>
      </c>
      <c r="D22" s="27" t="inlineStr">
        <is>
          <t>Jefe Propuesta</t>
        </is>
      </c>
      <c r="E22" s="28" t="inlineStr">
        <is>
          <t>CRÍTICO</t>
        </is>
      </c>
      <c r="F22" s="29" t="inlineStr">
        <is>
          <t>⚠ PENDIENTE</t>
        </is>
      </c>
      <c r="G22" s="30" t="inlineStr"/>
      <c r="H22" s="31" t="inlineStr">
        <is>
          <t>Estrategia</t>
        </is>
      </c>
    </row>
    <row r="23" ht="32" customHeight="1">
      <c r="B23" s="32" t="n">
        <v>13</v>
      </c>
      <c r="C23" s="33" t="inlineStr">
        <is>
          <t>Se simularon escenarios de precio frente a competencia estimada</t>
        </is>
      </c>
      <c r="D23" s="34" t="inlineStr">
        <is>
          <t>Jefe Propuesta</t>
        </is>
      </c>
      <c r="E23" s="37" t="inlineStr">
        <is>
          <t>ALTO</t>
        </is>
      </c>
      <c r="F23" s="29" t="inlineStr">
        <is>
          <t>⚠ PENDIENTE</t>
        </is>
      </c>
      <c r="G23" s="35" t="inlineStr"/>
      <c r="H23" s="36" t="inlineStr">
        <is>
          <t>Estrategia</t>
        </is>
      </c>
    </row>
    <row r="24" ht="32" customHeight="1">
      <c r="B24" s="25" t="n">
        <v>14</v>
      </c>
      <c r="C24" s="26" t="inlineStr">
        <is>
          <t>Se verificó que el precio cubre costos reales (no sub-cotizar con pérdida)</t>
        </is>
      </c>
      <c r="D24" s="27" t="inlineStr">
        <is>
          <t>Jefe Propuesta</t>
        </is>
      </c>
      <c r="E24" s="28" t="inlineStr">
        <is>
          <t>CRÍTICO</t>
        </is>
      </c>
      <c r="F24" s="29" t="inlineStr">
        <is>
          <t>⚠ PENDIENTE</t>
        </is>
      </c>
      <c r="G24" s="30" t="inlineStr"/>
      <c r="H24" s="31" t="inlineStr">
        <is>
          <t>Sostenibilidad</t>
        </is>
      </c>
    </row>
    <row r="25" ht="32" customHeight="1">
      <c r="B25" s="32" t="n">
        <v>15</v>
      </c>
      <c r="C25" s="33" t="inlineStr">
        <is>
          <t>Se documentó la decisión de precio y su fundamento estratégico</t>
        </is>
      </c>
      <c r="D25" s="34" t="inlineStr">
        <is>
          <t>Jefe Propuesta</t>
        </is>
      </c>
      <c r="E25" s="38" t="inlineStr">
        <is>
          <t>MEDIO</t>
        </is>
      </c>
      <c r="F25" s="29" t="inlineStr">
        <is>
          <t>⚠ PENDIENTE</t>
        </is>
      </c>
      <c r="G25" s="35" t="inlineStr"/>
      <c r="H25" s="36" t="inlineStr">
        <is>
          <t>Trazabilidad</t>
        </is>
      </c>
    </row>
    <row r="27" ht="20" customHeight="1">
      <c r="B27" s="24" t="inlineStr">
        <is>
          <t xml:space="preserve">  ▶  D. GARANTÍA DE SERIEDAD DE OFERTA</t>
        </is>
      </c>
    </row>
    <row r="28" ht="32" customHeight="1">
      <c r="B28" s="25" t="n">
        <v>16</v>
      </c>
      <c r="C28" s="26" t="inlineStr">
        <is>
          <t>Monto de la garantía es exactamente el exigido en bases</t>
        </is>
      </c>
      <c r="D28" s="27" t="inlineStr">
        <is>
          <t>Analista 1</t>
        </is>
      </c>
      <c r="E28" s="28" t="inlineStr">
        <is>
          <t>CRÍTICO</t>
        </is>
      </c>
      <c r="F28" s="29" t="inlineStr">
        <is>
          <t>⚠ PENDIENTE</t>
        </is>
      </c>
      <c r="G28" s="30" t="inlineStr"/>
      <c r="H28" s="31" t="inlineStr">
        <is>
          <t>Fuera de bases</t>
        </is>
      </c>
    </row>
    <row r="29" ht="32" customHeight="1">
      <c r="B29" s="32" t="n">
        <v>17</v>
      </c>
      <c r="C29" s="33" t="inlineStr">
        <is>
          <t>Plazo de vigencia cubre lo exigido + margen de seguridad</t>
        </is>
      </c>
      <c r="D29" s="34" t="inlineStr">
        <is>
          <t>Analista 1</t>
        </is>
      </c>
      <c r="E29" s="28" t="inlineStr">
        <is>
          <t>CRÍTICO</t>
        </is>
      </c>
      <c r="F29" s="29" t="inlineStr">
        <is>
          <t>⚠ PENDIENTE</t>
        </is>
      </c>
      <c r="G29" s="35" t="inlineStr"/>
      <c r="H29" s="36" t="inlineStr">
        <is>
          <t>Fuera de bases</t>
        </is>
      </c>
    </row>
    <row r="30" ht="32" customHeight="1">
      <c r="B30" s="25" t="n">
        <v>18</v>
      </c>
      <c r="C30" s="26" t="inlineStr">
        <is>
          <t>El beneficiario es el MOP / Dirección correcta (no otra entidad)</t>
        </is>
      </c>
      <c r="D30" s="27" t="inlineStr">
        <is>
          <t>Analista 2</t>
        </is>
      </c>
      <c r="E30" s="28" t="inlineStr">
        <is>
          <t>CRÍTICO</t>
        </is>
      </c>
      <c r="F30" s="29" t="inlineStr">
        <is>
          <t>⚠ PENDIENTE</t>
        </is>
      </c>
      <c r="G30" s="30" t="inlineStr"/>
      <c r="H30" s="31" t="inlineStr">
        <is>
          <t>Fuera de bases</t>
        </is>
      </c>
    </row>
    <row r="31" ht="32" customHeight="1">
      <c r="B31" s="32" t="n">
        <v>19</v>
      </c>
      <c r="C31" s="33" t="inlineStr">
        <is>
          <t>Tipo de instrumento es el aceptado en bases (boleta, póliza, vale vista)</t>
        </is>
      </c>
      <c r="D31" s="34" t="inlineStr">
        <is>
          <t>Analista 2</t>
        </is>
      </c>
      <c r="E31" s="28" t="inlineStr">
        <is>
          <t>CRÍTICO</t>
        </is>
      </c>
      <c r="F31" s="29" t="inlineStr">
        <is>
          <t>⚠ PENDIENTE</t>
        </is>
      </c>
      <c r="G31" s="35" t="inlineStr"/>
      <c r="H31" s="36" t="inlineStr">
        <is>
          <t>Fuera de bases</t>
        </is>
      </c>
    </row>
    <row r="32" ht="32" customHeight="1">
      <c r="B32" s="25" t="n">
        <v>20</v>
      </c>
      <c r="C32" s="26" t="inlineStr">
        <is>
          <t>El documento tiene firma y sello del banco o aseguradora</t>
        </is>
      </c>
      <c r="D32" s="27" t="inlineStr">
        <is>
          <t>Analista 1</t>
        </is>
      </c>
      <c r="E32" s="28" t="inlineStr">
        <is>
          <t>CRÍTICO</t>
        </is>
      </c>
      <c r="F32" s="29" t="inlineStr">
        <is>
          <t>⚠ PENDIENTE</t>
        </is>
      </c>
      <c r="G32" s="30" t="inlineStr"/>
      <c r="H32" s="31" t="inlineStr">
        <is>
          <t>Validez</t>
        </is>
      </c>
    </row>
  </sheetData>
  <mergeCells count="6">
    <mergeCell ref="B14:H14"/>
    <mergeCell ref="B27:H27"/>
    <mergeCell ref="B4:H4"/>
    <mergeCell ref="B21:H21"/>
    <mergeCell ref="B6:H6"/>
    <mergeCell ref="B2:H2"/>
  </mergeCells>
  <conditionalFormatting sqref="F6:F34">
    <cfRule type="expression" priority="1" dxfId="0">
      <formula>NOT(ISERROR(SEARCH("CUMPLE",F6)))</formula>
    </cfRule>
    <cfRule type="expression" priority="2" dxfId="1">
      <formula>NOT(ISERROR(SEARCH("NO CUMPLE",F6)))</formula>
    </cfRule>
    <cfRule type="expression" priority="3" dxfId="2">
      <formula>NOT(ISERROR(SEARCH("PENDIENTE",F6)))</formula>
    </cfRule>
  </conditionalFormatting>
  <dataValidations count="1">
    <dataValidation sqref="F7 F8 F9 F10 F11 F12 F15 F16 F17 F18 F19 F22 F23 F24 F25 F28 F29 F30 F31 F32" showDropDown="0" showInputMessage="0" showErrorMessage="0" allowBlank="1" type="list">
      <formula1>"✓ CUMPLE,⚠ PENDIENTE,✗ NO CUMPLE,N/A"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48" customWidth="1" min="3" max="3"/>
    <col width="16" customWidth="1" min="4" max="4"/>
    <col width="11" customWidth="1" min="5" max="5"/>
    <col width="14" customWidth="1" min="6" max="6"/>
    <col width="30" customWidth="1" min="7" max="7"/>
    <col width="11" customWidth="1" min="8" max="8"/>
  </cols>
  <sheetData>
    <row r="1" ht="6" customHeight="1"/>
    <row r="2" ht="28" customHeight="1">
      <c r="B2" s="43" t="inlineStr">
        <is>
          <t>DOCUMENTAL</t>
        </is>
      </c>
    </row>
    <row r="3" ht="6" customHeight="1">
      <c r="H3">
        <f>COUNTIF(F6:F500,"✓ CUMPLE")</f>
        <v/>
      </c>
    </row>
    <row r="4" ht="16" customHeight="1">
      <c r="B4" s="23" t="inlineStr">
        <is>
          <t>Completa el Estado con el dropdown. Agrega observaciones y evidencias en columna G.</t>
        </is>
      </c>
    </row>
    <row r="5" ht="32" customHeight="1">
      <c r="B5" s="44" t="inlineStr">
        <is>
          <t>#</t>
        </is>
      </c>
      <c r="C5" s="44" t="inlineStr">
        <is>
          <t>ÍTEM / REQUISITO A VERIFICAR</t>
        </is>
      </c>
      <c r="D5" s="44" t="inlineStr">
        <is>
          <t>RESPONSABLE</t>
        </is>
      </c>
      <c r="E5" s="44" t="inlineStr">
        <is>
          <t>PRIORIDAD</t>
        </is>
      </c>
      <c r="F5" s="44" t="inlineStr">
        <is>
          <t>ESTADO</t>
        </is>
      </c>
      <c r="G5" s="44" t="inlineStr">
        <is>
          <t>OBSERVACIÓN / EVIDENCIA</t>
        </is>
      </c>
      <c r="H5" s="44" t="inlineStr">
        <is>
          <t>REF.
BASES</t>
        </is>
      </c>
    </row>
    <row r="6" ht="20" customHeight="1">
      <c r="B6" s="24" t="inlineStr">
        <is>
          <t xml:space="preserve">  ▶  A. ÍNDICE Y ORDEN DE ENTREGA</t>
        </is>
      </c>
    </row>
    <row r="7" ht="32" customHeight="1">
      <c r="B7" s="25" t="n">
        <v>1</v>
      </c>
      <c r="C7" s="26" t="inlineStr">
        <is>
          <t>Elaborar índice completo de todos los documentos a entregar</t>
        </is>
      </c>
      <c r="D7" s="27" t="inlineStr">
        <is>
          <t>Analista 1</t>
        </is>
      </c>
      <c r="E7" s="28" t="inlineStr">
        <is>
          <t>CRÍTICO</t>
        </is>
      </c>
      <c r="F7" s="29" t="inlineStr">
        <is>
          <t>⚠ PENDIENTE</t>
        </is>
      </c>
      <c r="G7" s="30" t="inlineStr"/>
      <c r="H7" s="31" t="inlineStr">
        <is>
          <t>Control</t>
        </is>
      </c>
    </row>
    <row r="8" ht="32" customHeight="1">
      <c r="B8" s="32" t="n">
        <v>2</v>
      </c>
      <c r="C8" s="33" t="inlineStr">
        <is>
          <t>Verificar que el orden coincide con lo exigido en bases</t>
        </is>
      </c>
      <c r="D8" s="34" t="inlineStr">
        <is>
          <t>Analista 2</t>
        </is>
      </c>
      <c r="E8" s="37" t="inlineStr">
        <is>
          <t>ALTO</t>
        </is>
      </c>
      <c r="F8" s="29" t="inlineStr">
        <is>
          <t>⚠ PENDIENTE</t>
        </is>
      </c>
      <c r="G8" s="35" t="inlineStr"/>
      <c r="H8" s="36" t="inlineStr">
        <is>
          <t>Req. bases</t>
        </is>
      </c>
    </row>
    <row r="9" ht="32" customHeight="1">
      <c r="B9" s="25" t="n">
        <v>3</v>
      </c>
      <c r="C9" s="26" t="inlineStr">
        <is>
          <t>Numerar y rotular volúmenes / sobres si las bases lo requieren</t>
        </is>
      </c>
      <c r="D9" s="27" t="inlineStr">
        <is>
          <t>Analista 2</t>
        </is>
      </c>
      <c r="E9" s="37" t="inlineStr">
        <is>
          <t>ALTO</t>
        </is>
      </c>
      <c r="F9" s="29" t="inlineStr">
        <is>
          <t>⚠ PENDIENTE</t>
        </is>
      </c>
      <c r="G9" s="30" t="inlineStr"/>
      <c r="H9" s="31" t="inlineStr">
        <is>
          <t>Req. bases</t>
        </is>
      </c>
    </row>
    <row r="10" ht="32" customHeight="1">
      <c r="B10" s="32" t="n">
        <v>4</v>
      </c>
      <c r="C10" s="33" t="inlineStr">
        <is>
          <t>Preparar versión digital (PDF) y física según requisitos de entrega</t>
        </is>
      </c>
      <c r="D10" s="34" t="inlineStr">
        <is>
          <t>Analista 1</t>
        </is>
      </c>
      <c r="E10" s="28" t="inlineStr">
        <is>
          <t>CRÍTICO</t>
        </is>
      </c>
      <c r="F10" s="29" t="inlineStr">
        <is>
          <t>⚠ PENDIENTE</t>
        </is>
      </c>
      <c r="G10" s="35" t="inlineStr"/>
      <c r="H10" s="36" t="inlineStr">
        <is>
          <t>Req. bases</t>
        </is>
      </c>
    </row>
    <row r="11" ht="32" customHeight="1">
      <c r="B11" s="25" t="n">
        <v>5</v>
      </c>
      <c r="C11" s="26" t="inlineStr">
        <is>
          <t>Revisar que tamaño de archivos digitales no excede límites del portal</t>
        </is>
      </c>
      <c r="D11" s="27" t="inlineStr">
        <is>
          <t>Analista 2</t>
        </is>
      </c>
      <c r="E11" s="37" t="inlineStr">
        <is>
          <t>ALTO</t>
        </is>
      </c>
      <c r="F11" s="29" t="inlineStr">
        <is>
          <t>⚠ PENDIENTE</t>
        </is>
      </c>
      <c r="G11" s="30" t="inlineStr"/>
      <c r="H11" s="31" t="inlineStr">
        <is>
          <t>Req. bases</t>
        </is>
      </c>
    </row>
    <row r="13" ht="20" customHeight="1">
      <c r="B13" s="24" t="inlineStr">
        <is>
          <t xml:space="preserve">  ▶  B. FIRMAS Y AUTORIZACIONES</t>
        </is>
      </c>
    </row>
    <row r="14" ht="32" customHeight="1">
      <c r="B14" s="25" t="n">
        <v>6</v>
      </c>
      <c r="C14" s="26" t="inlineStr">
        <is>
          <t>Identificar documentos que deben ir firmados por representante legal</t>
        </is>
      </c>
      <c r="D14" s="27" t="inlineStr">
        <is>
          <t>Jefe Propuesta</t>
        </is>
      </c>
      <c r="E14" s="28" t="inlineStr">
        <is>
          <t>CRÍTICO</t>
        </is>
      </c>
      <c r="F14" s="29" t="inlineStr">
        <is>
          <t>⚠ PENDIENTE</t>
        </is>
      </c>
      <c r="G14" s="30" t="inlineStr"/>
      <c r="H14" s="31" t="inlineStr">
        <is>
          <t>Fuera de bases</t>
        </is>
      </c>
    </row>
    <row r="15" ht="32" customHeight="1">
      <c r="B15" s="32" t="n">
        <v>7</v>
      </c>
      <c r="C15" s="33" t="inlineStr">
        <is>
          <t>Verificar que firmas son en original (no fotocopias) si se exige</t>
        </is>
      </c>
      <c r="D15" s="34" t="inlineStr">
        <is>
          <t>Analista 1</t>
        </is>
      </c>
      <c r="E15" s="28" t="inlineStr">
        <is>
          <t>CRÍTICO</t>
        </is>
      </c>
      <c r="F15" s="29" t="inlineStr">
        <is>
          <t>⚠ PENDIENTE</t>
        </is>
      </c>
      <c r="G15" s="35" t="inlineStr"/>
      <c r="H15" s="36" t="inlineStr">
        <is>
          <t>Fuera de bases</t>
        </is>
      </c>
    </row>
    <row r="16" ht="32" customHeight="1">
      <c r="B16" s="25" t="n">
        <v>8</v>
      </c>
      <c r="C16" s="26" t="inlineStr">
        <is>
          <t>Verificar que poderes notariales están vigentes y autorizan al firmante</t>
        </is>
      </c>
      <c r="D16" s="27" t="inlineStr">
        <is>
          <t>Jefe Propuesta</t>
        </is>
      </c>
      <c r="E16" s="28" t="inlineStr">
        <is>
          <t>CRÍTICO</t>
        </is>
      </c>
      <c r="F16" s="29" t="inlineStr">
        <is>
          <t>⚠ PENDIENTE</t>
        </is>
      </c>
      <c r="G16" s="30" t="inlineStr"/>
      <c r="H16" s="31" t="inlineStr">
        <is>
          <t>Fuera de bases</t>
        </is>
      </c>
    </row>
    <row r="17" ht="32" customHeight="1">
      <c r="B17" s="32" t="n">
        <v>9</v>
      </c>
      <c r="C17" s="33" t="inlineStr">
        <is>
          <t>Confirmar firma en todas las páginas si las bases lo exigen</t>
        </is>
      </c>
      <c r="D17" s="34" t="inlineStr">
        <is>
          <t>Analista 2</t>
        </is>
      </c>
      <c r="E17" s="37" t="inlineStr">
        <is>
          <t>ALTO</t>
        </is>
      </c>
      <c r="F17" s="29" t="inlineStr">
        <is>
          <t>⚠ PENDIENTE</t>
        </is>
      </c>
      <c r="G17" s="35" t="inlineStr"/>
      <c r="H17" s="36" t="inlineStr">
        <is>
          <t>Req. bases</t>
        </is>
      </c>
    </row>
    <row r="19" ht="20" customHeight="1">
      <c r="B19" s="24" t="inlineStr">
        <is>
          <t xml:space="preserve">  ▶  C. FORMULARIOS OBLIGATORIOS</t>
        </is>
      </c>
    </row>
    <row r="20" ht="32" customHeight="1">
      <c r="B20" s="25" t="n">
        <v>10</v>
      </c>
      <c r="C20" s="26" t="inlineStr">
        <is>
          <t>Formulario oferta técnica: completo, firmado y sin tachaduras</t>
        </is>
      </c>
      <c r="D20" s="27" t="inlineStr">
        <is>
          <t>Analista 1</t>
        </is>
      </c>
      <c r="E20" s="28" t="inlineStr">
        <is>
          <t>CRÍTICO</t>
        </is>
      </c>
      <c r="F20" s="29" t="inlineStr">
        <is>
          <t>⚠ PENDIENTE</t>
        </is>
      </c>
      <c r="G20" s="30" t="inlineStr"/>
      <c r="H20" s="31" t="inlineStr">
        <is>
          <t>Fuera de bases</t>
        </is>
      </c>
    </row>
    <row r="21" ht="32" customHeight="1">
      <c r="B21" s="32" t="n">
        <v>11</v>
      </c>
      <c r="C21" s="33" t="inlineStr">
        <is>
          <t>Formulario oferta económica: completo, firmado y sin errores</t>
        </is>
      </c>
      <c r="D21" s="34" t="inlineStr">
        <is>
          <t>Analista 1</t>
        </is>
      </c>
      <c r="E21" s="28" t="inlineStr">
        <is>
          <t>CRÍTICO</t>
        </is>
      </c>
      <c r="F21" s="29" t="inlineStr">
        <is>
          <t>⚠ PENDIENTE</t>
        </is>
      </c>
      <c r="G21" s="35" t="inlineStr"/>
      <c r="H21" s="36" t="inlineStr">
        <is>
          <t>Fuera de bases</t>
        </is>
      </c>
    </row>
    <row r="22" ht="32" customHeight="1">
      <c r="B22" s="25" t="n">
        <v>12</v>
      </c>
      <c r="C22" s="26" t="inlineStr">
        <is>
          <t>Declaración jurada de no conflicto de interés / inhabilidades</t>
        </is>
      </c>
      <c r="D22" s="27" t="inlineStr">
        <is>
          <t>Analista 2</t>
        </is>
      </c>
      <c r="E22" s="28" t="inlineStr">
        <is>
          <t>CRÍTICO</t>
        </is>
      </c>
      <c r="F22" s="29" t="inlineStr">
        <is>
          <t>⚠ PENDIENTE</t>
        </is>
      </c>
      <c r="G22" s="30" t="inlineStr"/>
      <c r="H22" s="31" t="inlineStr">
        <is>
          <t>Fuera de bases</t>
        </is>
      </c>
    </row>
    <row r="23" ht="32" customHeight="1">
      <c r="B23" s="32" t="n">
        <v>13</v>
      </c>
      <c r="C23" s="33" t="inlineStr">
        <is>
          <t>Anexo de equipo propuesto: completo con todos los profesionales</t>
        </is>
      </c>
      <c r="D23" s="34" t="inlineStr">
        <is>
          <t>Analista 1</t>
        </is>
      </c>
      <c r="E23" s="28" t="inlineStr">
        <is>
          <t>CRÍTICO</t>
        </is>
      </c>
      <c r="F23" s="29" t="inlineStr">
        <is>
          <t>⚠ PENDIENTE</t>
        </is>
      </c>
      <c r="G23" s="35" t="inlineStr"/>
      <c r="H23" s="36" t="inlineStr">
        <is>
          <t>Fuera de bases</t>
        </is>
      </c>
    </row>
    <row r="24" ht="32" customHeight="1">
      <c r="B24" s="25" t="n">
        <v>14</v>
      </c>
      <c r="C24" s="26" t="inlineStr">
        <is>
          <t>Ficha técnica del contrato (si es exigida)</t>
        </is>
      </c>
      <c r="D24" s="27" t="inlineStr">
        <is>
          <t>Analista 2</t>
        </is>
      </c>
      <c r="E24" s="37" t="inlineStr">
        <is>
          <t>ALTO</t>
        </is>
      </c>
      <c r="F24" s="29" t="inlineStr">
        <is>
          <t>⚠ PENDIENTE</t>
        </is>
      </c>
      <c r="G24" s="30" t="inlineStr"/>
      <c r="H24" s="31" t="inlineStr">
        <is>
          <t>Req. bases</t>
        </is>
      </c>
    </row>
    <row r="25" ht="32" customHeight="1">
      <c r="B25" s="32" t="n">
        <v>15</v>
      </c>
      <c r="C25" s="33" t="inlineStr">
        <is>
          <t>Comprobante / certificado de visita a terreno (si aplica)</t>
        </is>
      </c>
      <c r="D25" s="34" t="inlineStr">
        <is>
          <t>Analista 2</t>
        </is>
      </c>
      <c r="E25" s="37" t="inlineStr">
        <is>
          <t>ALTO</t>
        </is>
      </c>
      <c r="F25" s="29" t="inlineStr">
        <is>
          <t>⚠ PENDIENTE</t>
        </is>
      </c>
      <c r="G25" s="35" t="inlineStr"/>
      <c r="H25" s="36" t="inlineStr">
        <is>
          <t>Req. bases</t>
        </is>
      </c>
    </row>
    <row r="26" ht="32" customHeight="1">
      <c r="B26" s="25" t="n">
        <v>16</v>
      </c>
      <c r="C26" s="26" t="inlineStr">
        <is>
          <t>Documentos de la empresa: RUT, estatutos, escritura (si se exige)</t>
        </is>
      </c>
      <c r="D26" s="27" t="inlineStr">
        <is>
          <t>Analista 1</t>
        </is>
      </c>
      <c r="E26" s="37" t="inlineStr">
        <is>
          <t>ALTO</t>
        </is>
      </c>
      <c r="F26" s="29" t="inlineStr">
        <is>
          <t>⚠ PENDIENTE</t>
        </is>
      </c>
      <c r="G26" s="30" t="inlineStr"/>
      <c r="H26" s="31" t="inlineStr">
        <is>
          <t>Req. bases</t>
        </is>
      </c>
    </row>
    <row r="28" ht="20" customHeight="1">
      <c r="B28" s="24" t="inlineStr">
        <is>
          <t xml:space="preserve">  ▶  D. VALIDACIÓN FINAL ANTES DE ENTREGA</t>
        </is>
      </c>
    </row>
    <row r="29" ht="32" customHeight="1">
      <c r="B29" s="25" t="n">
        <v>17</v>
      </c>
      <c r="C29" s="26" t="inlineStr">
        <is>
          <t>Revisión cruzada final: índice vs documentos reales</t>
        </is>
      </c>
      <c r="D29" s="27" t="inlineStr">
        <is>
          <t>Jefe Propuesta</t>
        </is>
      </c>
      <c r="E29" s="28" t="inlineStr">
        <is>
          <t>CRÍTICO</t>
        </is>
      </c>
      <c r="F29" s="29" t="inlineStr">
        <is>
          <t>⚠ PENDIENTE</t>
        </is>
      </c>
      <c r="G29" s="30" t="inlineStr"/>
      <c r="H29" s="31" t="inlineStr">
        <is>
          <t>Control final</t>
        </is>
      </c>
    </row>
    <row r="30" ht="32" customHeight="1">
      <c r="B30" s="32" t="n">
        <v>18</v>
      </c>
      <c r="C30" s="33" t="inlineStr">
        <is>
          <t>Contar páginas totales vs límite si hay restricción</t>
        </is>
      </c>
      <c r="D30" s="34" t="inlineStr">
        <is>
          <t>Analista 1</t>
        </is>
      </c>
      <c r="E30" s="37" t="inlineStr">
        <is>
          <t>ALTO</t>
        </is>
      </c>
      <c r="F30" s="29" t="inlineStr">
        <is>
          <t>⚠ PENDIENTE</t>
        </is>
      </c>
      <c r="G30" s="35" t="inlineStr"/>
      <c r="H30" s="36" t="inlineStr">
        <is>
          <t>Req. bases</t>
        </is>
      </c>
    </row>
    <row r="31" ht="32" customHeight="1">
      <c r="B31" s="25" t="n">
        <v>19</v>
      </c>
      <c r="C31" s="26" t="inlineStr">
        <is>
          <t>Verificar que archivos digitales abren correctamente (no corruptos)</t>
        </is>
      </c>
      <c r="D31" s="27" t="inlineStr">
        <is>
          <t>Analista 2</t>
        </is>
      </c>
      <c r="E31" s="37" t="inlineStr">
        <is>
          <t>ALTO</t>
        </is>
      </c>
      <c r="F31" s="29" t="inlineStr">
        <is>
          <t>⚠ PENDIENTE</t>
        </is>
      </c>
      <c r="G31" s="30" t="inlineStr"/>
      <c r="H31" s="31" t="inlineStr">
        <is>
          <t>Control</t>
        </is>
      </c>
    </row>
    <row r="32" ht="32" customHeight="1">
      <c r="B32" s="32" t="n">
        <v>20</v>
      </c>
      <c r="C32" s="33" t="inlineStr">
        <is>
          <t>Confirmar formato de archivos exigido (PDF, Word, firma digital)</t>
        </is>
      </c>
      <c r="D32" s="34" t="inlineStr">
        <is>
          <t>Analista 2</t>
        </is>
      </c>
      <c r="E32" s="37" t="inlineStr">
        <is>
          <t>ALTO</t>
        </is>
      </c>
      <c r="F32" s="29" t="inlineStr">
        <is>
          <t>⚠ PENDIENTE</t>
        </is>
      </c>
      <c r="G32" s="35" t="inlineStr"/>
      <c r="H32" s="36" t="inlineStr">
        <is>
          <t>Req. bases</t>
        </is>
      </c>
    </row>
    <row r="33" ht="32" customHeight="1">
      <c r="B33" s="25" t="n">
        <v>21</v>
      </c>
      <c r="C33" s="26" t="inlineStr">
        <is>
          <t>Buscar referencias a otros contratos por error de copiado (Ctrl+F)</t>
        </is>
      </c>
      <c r="D33" s="27" t="inlineStr">
        <is>
          <t>Analista 1</t>
        </is>
      </c>
      <c r="E33" s="28" t="inlineStr">
        <is>
          <t>CRÍTICO</t>
        </is>
      </c>
      <c r="F33" s="29" t="inlineStr">
        <is>
          <t>⚠ PENDIENTE</t>
        </is>
      </c>
      <c r="G33" s="30" t="inlineStr"/>
      <c r="H33" s="31" t="inlineStr">
        <is>
          <t>Error grave</t>
        </is>
      </c>
    </row>
    <row r="34" ht="32" customHeight="1">
      <c r="B34" s="32" t="n">
        <v>22</v>
      </c>
      <c r="C34" s="33" t="inlineStr">
        <is>
          <t>Revisar que no hay track changes / comentarios activos en documentos Word</t>
        </is>
      </c>
      <c r="D34" s="34" t="inlineStr">
        <is>
          <t>Analista 2</t>
        </is>
      </c>
      <c r="E34" s="37" t="inlineStr">
        <is>
          <t>ALTO</t>
        </is>
      </c>
      <c r="F34" s="29" t="inlineStr">
        <is>
          <t>⚠ PENDIENTE</t>
        </is>
      </c>
      <c r="G34" s="35" t="inlineStr"/>
      <c r="H34" s="36" t="inlineStr">
        <is>
          <t>Presentación</t>
        </is>
      </c>
    </row>
    <row r="35" ht="32" customHeight="1">
      <c r="B35" s="25" t="n">
        <v>23</v>
      </c>
      <c r="C35" s="26" t="inlineStr">
        <is>
          <t>Revisar metadatos de los archivos (no deben mostrar nombre de empresa rival)</t>
        </is>
      </c>
      <c r="D35" s="27" t="inlineStr">
        <is>
          <t>Analista 2</t>
        </is>
      </c>
      <c r="E35" s="38" t="inlineStr">
        <is>
          <t>MEDIO</t>
        </is>
      </c>
      <c r="F35" s="29" t="inlineStr">
        <is>
          <t>⚠ PENDIENTE</t>
        </is>
      </c>
      <c r="G35" s="30" t="inlineStr"/>
      <c r="H35" s="31" t="inlineStr">
        <is>
          <t>Seguridad</t>
        </is>
      </c>
    </row>
  </sheetData>
  <mergeCells count="6">
    <mergeCell ref="B13:H13"/>
    <mergeCell ref="B4:H4"/>
    <mergeCell ref="B6:H6"/>
    <mergeCell ref="B2:H2"/>
    <mergeCell ref="B19:H19"/>
    <mergeCell ref="B28:H28"/>
  </mergeCells>
  <conditionalFormatting sqref="F6:F37">
    <cfRule type="expression" priority="1" dxfId="0">
      <formula>NOT(ISERROR(SEARCH("CUMPLE",F6)))</formula>
    </cfRule>
    <cfRule type="expression" priority="2" dxfId="1">
      <formula>NOT(ISERROR(SEARCH("NO CUMPLE",F6)))</formula>
    </cfRule>
    <cfRule type="expression" priority="3" dxfId="2">
      <formula>NOT(ISERROR(SEARCH("PENDIENTE",F6)))</formula>
    </cfRule>
  </conditionalFormatting>
  <dataValidations count="1">
    <dataValidation sqref="F7 F8 F9 F10 F11 F14 F15 F16 F17 F20 F21 F22 F23 F24 F25 F26 F29 F30 F31 F32 F33 F34 F35" showDropDown="0" showInputMessage="0" showErrorMessage="0" allowBlank="1" type="list">
      <formula1>"✓ CUMPLE,⚠ PENDIENTE,✗ NO CUMPLE,N/A"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48" customWidth="1" min="3" max="3"/>
    <col width="16" customWidth="1" min="4" max="4"/>
    <col width="11" customWidth="1" min="5" max="5"/>
    <col width="14" customWidth="1" min="6" max="6"/>
    <col width="30" customWidth="1" min="7" max="7"/>
    <col width="11" customWidth="1" min="8" max="8"/>
  </cols>
  <sheetData>
    <row r="1" ht="6" customHeight="1"/>
    <row r="2" ht="28" customHeight="1">
      <c r="B2" s="45" t="inlineStr">
        <is>
          <t>CALIDAD</t>
        </is>
      </c>
    </row>
    <row r="3" ht="6" customHeight="1">
      <c r="H3">
        <f>COUNTIF(F6:F500,"✓ CUMPLE")</f>
        <v/>
      </c>
    </row>
    <row r="4" ht="16" customHeight="1">
      <c r="B4" s="23" t="inlineStr">
        <is>
          <t>Completa el Estado con el dropdown. Agrega observaciones y evidencias en columna G.</t>
        </is>
      </c>
    </row>
    <row r="5" ht="32" customHeight="1">
      <c r="B5" s="46" t="inlineStr">
        <is>
          <t>#</t>
        </is>
      </c>
      <c r="C5" s="46" t="inlineStr">
        <is>
          <t>ÍTEM / REQUISITO A VERIFICAR</t>
        </is>
      </c>
      <c r="D5" s="46" t="inlineStr">
        <is>
          <t>RESPONSABLE</t>
        </is>
      </c>
      <c r="E5" s="46" t="inlineStr">
        <is>
          <t>PRIORIDAD</t>
        </is>
      </c>
      <c r="F5" s="46" t="inlineStr">
        <is>
          <t>ESTADO</t>
        </is>
      </c>
      <c r="G5" s="46" t="inlineStr">
        <is>
          <t>OBSERVACIÓN / EVIDENCIA</t>
        </is>
      </c>
      <c r="H5" s="46" t="inlineStr">
        <is>
          <t>REF.
BASES</t>
        </is>
      </c>
    </row>
    <row r="6" ht="20" customHeight="1">
      <c r="B6" s="24" t="inlineStr">
        <is>
          <t xml:space="preserve">  ▶  A. COHERENCIA INTERNA</t>
        </is>
      </c>
    </row>
    <row r="7" ht="32" customHeight="1">
      <c r="B7" s="25" t="n">
        <v>1</v>
      </c>
      <c r="C7" s="26" t="inlineStr">
        <is>
          <t>Nombre del contrato es idéntico en todos los documentos</t>
        </is>
      </c>
      <c r="D7" s="27" t="inlineStr">
        <is>
          <t>Analista 2</t>
        </is>
      </c>
      <c r="E7" s="28" t="inlineStr">
        <is>
          <t>CRÍTICO</t>
        </is>
      </c>
      <c r="F7" s="29" t="inlineStr">
        <is>
          <t>⚠ PENDIENTE</t>
        </is>
      </c>
      <c r="G7" s="30" t="inlineStr"/>
      <c r="H7" s="31" t="inlineStr">
        <is>
          <t>Consistencia</t>
        </is>
      </c>
    </row>
    <row r="8" ht="32" customHeight="1">
      <c r="B8" s="32" t="n">
        <v>2</v>
      </c>
      <c r="C8" s="33" t="inlineStr">
        <is>
          <t>RUT y razón social de la empresa es idéntico en todos los documentos</t>
        </is>
      </c>
      <c r="D8" s="34" t="inlineStr">
        <is>
          <t>Analista 2</t>
        </is>
      </c>
      <c r="E8" s="28" t="inlineStr">
        <is>
          <t>CRÍTICO</t>
        </is>
      </c>
      <c r="F8" s="29" t="inlineStr">
        <is>
          <t>⚠ PENDIENTE</t>
        </is>
      </c>
      <c r="G8" s="35" t="inlineStr"/>
      <c r="H8" s="36" t="inlineStr">
        <is>
          <t>Consistencia</t>
        </is>
      </c>
    </row>
    <row r="9" ht="32" customHeight="1">
      <c r="B9" s="25" t="n">
        <v>3</v>
      </c>
      <c r="C9" s="26" t="inlineStr">
        <is>
          <t>Montos de la oferta económica son consistentes en todos los formularios</t>
        </is>
      </c>
      <c r="D9" s="27" t="inlineStr">
        <is>
          <t>Analista 1</t>
        </is>
      </c>
      <c r="E9" s="28" t="inlineStr">
        <is>
          <t>CRÍTICO</t>
        </is>
      </c>
      <c r="F9" s="29" t="inlineStr">
        <is>
          <t>⚠ PENDIENTE</t>
        </is>
      </c>
      <c r="G9" s="30" t="inlineStr"/>
      <c r="H9" s="31" t="inlineStr">
        <is>
          <t>Consistencia</t>
        </is>
      </c>
    </row>
    <row r="10" ht="32" customHeight="1">
      <c r="B10" s="32" t="n">
        <v>4</v>
      </c>
      <c r="C10" s="33" t="inlineStr">
        <is>
          <t>Profesionales nombrados en metodología = profesionales con CV adjunto</t>
        </is>
      </c>
      <c r="D10" s="34" t="inlineStr">
        <is>
          <t>Analista 1</t>
        </is>
      </c>
      <c r="E10" s="37" t="inlineStr">
        <is>
          <t>ALTO</t>
        </is>
      </c>
      <c r="F10" s="29" t="inlineStr">
        <is>
          <t>⚠ PENDIENTE</t>
        </is>
      </c>
      <c r="G10" s="35" t="inlineStr"/>
      <c r="H10" s="36" t="inlineStr">
        <is>
          <t>Consistencia</t>
        </is>
      </c>
    </row>
    <row r="11" ht="32" customHeight="1">
      <c r="B11" s="25" t="n">
        <v>5</v>
      </c>
      <c r="C11" s="26" t="inlineStr">
        <is>
          <t>Plazo propuesto en metodología coincide con el plazo ofertado</t>
        </is>
      </c>
      <c r="D11" s="27" t="inlineStr">
        <is>
          <t>Analista 2</t>
        </is>
      </c>
      <c r="E11" s="37" t="inlineStr">
        <is>
          <t>ALTO</t>
        </is>
      </c>
      <c r="F11" s="29" t="inlineStr">
        <is>
          <t>⚠ PENDIENTE</t>
        </is>
      </c>
      <c r="G11" s="30" t="inlineStr"/>
      <c r="H11" s="31" t="inlineStr">
        <is>
          <t>Consistencia</t>
        </is>
      </c>
    </row>
    <row r="12" ht="32" customHeight="1">
      <c r="B12" s="32" t="n">
        <v>6</v>
      </c>
      <c r="C12" s="33" t="inlineStr">
        <is>
          <t>Normativa citada en metodología es la correcta para el tipo de contrato</t>
        </is>
      </c>
      <c r="D12" s="34" t="inlineStr">
        <is>
          <t>Analista 1</t>
        </is>
      </c>
      <c r="E12" s="37" t="inlineStr">
        <is>
          <t>ALTO</t>
        </is>
      </c>
      <c r="F12" s="29" t="inlineStr">
        <is>
          <t>⚠ PENDIENTE</t>
        </is>
      </c>
      <c r="G12" s="35" t="inlineStr"/>
      <c r="H12" s="36" t="inlineStr">
        <is>
          <t>Consistencia técnica</t>
        </is>
      </c>
    </row>
    <row r="14" ht="20" customHeight="1">
      <c r="B14" s="24" t="inlineStr">
        <is>
          <t xml:space="preserve">  ▶  B. CONTROL DE VERSIONES</t>
        </is>
      </c>
    </row>
    <row r="15" ht="32" customHeight="1">
      <c r="B15" s="25" t="n">
        <v>7</v>
      </c>
      <c r="C15" s="26" t="inlineStr">
        <is>
          <t>Solo existe UNA versión final de cada documento (sin versiones previas)</t>
        </is>
      </c>
      <c r="D15" s="27" t="inlineStr">
        <is>
          <t>Analista 1</t>
        </is>
      </c>
      <c r="E15" s="37" t="inlineStr">
        <is>
          <t>ALTO</t>
        </is>
      </c>
      <c r="F15" s="29" t="inlineStr">
        <is>
          <t>⚠ PENDIENTE</t>
        </is>
      </c>
      <c r="G15" s="30" t="inlineStr"/>
      <c r="H15" s="31" t="inlineStr">
        <is>
          <t>Control</t>
        </is>
      </c>
    </row>
    <row r="16" ht="32" customHeight="1">
      <c r="B16" s="32" t="n">
        <v>8</v>
      </c>
      <c r="C16" s="33" t="inlineStr">
        <is>
          <t>Los archivos están nombrados correctamente según lo exigido en bases</t>
        </is>
      </c>
      <c r="D16" s="34" t="inlineStr">
        <is>
          <t>Analista 2</t>
        </is>
      </c>
      <c r="E16" s="38" t="inlineStr">
        <is>
          <t>MEDIO</t>
        </is>
      </c>
      <c r="F16" s="29" t="inlineStr">
        <is>
          <t>⚠ PENDIENTE</t>
        </is>
      </c>
      <c r="G16" s="35" t="inlineStr"/>
      <c r="H16" s="36" t="inlineStr">
        <is>
          <t>Req. bases</t>
        </is>
      </c>
    </row>
    <row r="17" ht="32" customHeight="1">
      <c r="B17" s="25" t="n">
        <v>9</v>
      </c>
      <c r="C17" s="26" t="inlineStr">
        <is>
          <t>No hay documentos con metadatos de otro contrato o empresa rival</t>
        </is>
      </c>
      <c r="D17" s="27" t="inlineStr">
        <is>
          <t>Analista 2</t>
        </is>
      </c>
      <c r="E17" s="37" t="inlineStr">
        <is>
          <t>ALTO</t>
        </is>
      </c>
      <c r="F17" s="29" t="inlineStr">
        <is>
          <t>⚠ PENDIENTE</t>
        </is>
      </c>
      <c r="G17" s="30" t="inlineStr"/>
      <c r="H17" s="31" t="inlineStr">
        <is>
          <t>Seguridad</t>
        </is>
      </c>
    </row>
    <row r="18" ht="32" customHeight="1">
      <c r="B18" s="32" t="n">
        <v>10</v>
      </c>
      <c r="C18" s="33" t="inlineStr">
        <is>
          <t>Propuesta no tiene track changes (seguimiento de cambios) activos</t>
        </is>
      </c>
      <c r="D18" s="34" t="inlineStr">
        <is>
          <t>Analista 1</t>
        </is>
      </c>
      <c r="E18" s="37" t="inlineStr">
        <is>
          <t>ALTO</t>
        </is>
      </c>
      <c r="F18" s="29" t="inlineStr">
        <is>
          <t>⚠ PENDIENTE</t>
        </is>
      </c>
      <c r="G18" s="35" t="inlineStr"/>
      <c r="H18" s="36" t="inlineStr">
        <is>
          <t>Presentación</t>
        </is>
      </c>
    </row>
    <row r="19" ht="32" customHeight="1">
      <c r="B19" s="25" t="n">
        <v>11</v>
      </c>
      <c r="C19" s="26" t="inlineStr">
        <is>
          <t>Los headers/footers de documentos muestran el nombre correcto del contrato</t>
        </is>
      </c>
      <c r="D19" s="27" t="inlineStr">
        <is>
          <t>Analista 2</t>
        </is>
      </c>
      <c r="E19" s="38" t="inlineStr">
        <is>
          <t>MEDIO</t>
        </is>
      </c>
      <c r="F19" s="29" t="inlineStr">
        <is>
          <t>⚠ PENDIENTE</t>
        </is>
      </c>
      <c r="G19" s="30" t="inlineStr"/>
      <c r="H19" s="31" t="inlineStr">
        <is>
          <t>Consistencia</t>
        </is>
      </c>
    </row>
    <row r="21" ht="20" customHeight="1">
      <c r="B21" s="24" t="inlineStr">
        <is>
          <t xml:space="preserve">  ▶  C. PLAN INTERNO DE CALIDAD DE LA PROPUESTA</t>
        </is>
      </c>
    </row>
    <row r="22" ht="32" customHeight="1">
      <c r="B22" s="25" t="n">
        <v>12</v>
      </c>
      <c r="C22" s="26" t="inlineStr">
        <is>
          <t>Se designó responsable de revisión final de calidad</t>
        </is>
      </c>
      <c r="D22" s="27" t="inlineStr">
        <is>
          <t>Jefe Propuesta</t>
        </is>
      </c>
      <c r="E22" s="28" t="inlineStr">
        <is>
          <t>CRÍTICO</t>
        </is>
      </c>
      <c r="F22" s="29" t="inlineStr">
        <is>
          <t>⚠ PENDIENTE</t>
        </is>
      </c>
      <c r="G22" s="30" t="inlineStr"/>
      <c r="H22" s="31" t="inlineStr">
        <is>
          <t>Control</t>
        </is>
      </c>
    </row>
    <row r="23" ht="32" customHeight="1">
      <c r="B23" s="32" t="n">
        <v>13</v>
      </c>
      <c r="C23" s="33" t="inlineStr">
        <is>
          <t>Se definió plazo interno de cierre con margen de 24-48h antes de la apertura</t>
        </is>
      </c>
      <c r="D23" s="34" t="inlineStr">
        <is>
          <t>Jefe Propuesta</t>
        </is>
      </c>
      <c r="E23" s="28" t="inlineStr">
        <is>
          <t>CRÍTICO</t>
        </is>
      </c>
      <c r="F23" s="29" t="inlineStr">
        <is>
          <t>⚠ PENDIENTE</t>
        </is>
      </c>
      <c r="G23" s="35" t="inlineStr"/>
      <c r="H23" s="36" t="inlineStr">
        <is>
          <t>Riesgo plazo</t>
        </is>
      </c>
    </row>
    <row r="24" ht="32" customHeight="1">
      <c r="B24" s="25" t="n">
        <v>14</v>
      </c>
      <c r="C24" s="26" t="inlineStr">
        <is>
          <t>Se designó quién imprime, empasta y entrega la propuesta física</t>
        </is>
      </c>
      <c r="D24" s="27" t="inlineStr">
        <is>
          <t>Analista 1</t>
        </is>
      </c>
      <c r="E24" s="37" t="inlineStr">
        <is>
          <t>ALTO</t>
        </is>
      </c>
      <c r="F24" s="29" t="inlineStr">
        <is>
          <t>⚠ PENDIENTE</t>
        </is>
      </c>
      <c r="G24" s="30" t="inlineStr"/>
      <c r="H24" s="31" t="inlineStr">
        <is>
          <t>Logística</t>
        </is>
      </c>
    </row>
    <row r="25" ht="32" customHeight="1">
      <c r="B25" s="32" t="n">
        <v>15</v>
      </c>
      <c r="C25" s="33" t="inlineStr">
        <is>
          <t>Respaldo digital de todos los documentos previo a la entrega</t>
        </is>
      </c>
      <c r="D25" s="34" t="inlineStr">
        <is>
          <t>Analista 1</t>
        </is>
      </c>
      <c r="E25" s="28" t="inlineStr">
        <is>
          <t>CRÍTICO</t>
        </is>
      </c>
      <c r="F25" s="29" t="inlineStr">
        <is>
          <t>⚠ PENDIENTE</t>
        </is>
      </c>
      <c r="G25" s="35" t="inlineStr"/>
      <c r="H25" s="36" t="inlineStr">
        <is>
          <t>Trazabilidad</t>
        </is>
      </c>
    </row>
    <row r="26" ht="32" customHeight="1">
      <c r="B26" s="25" t="n">
        <v>16</v>
      </c>
      <c r="C26" s="26" t="inlineStr">
        <is>
          <t>Se realizó revisión cruzada con al menos 2 personas del equipo</t>
        </is>
      </c>
      <c r="D26" s="27" t="inlineStr">
        <is>
          <t>Jefe Propuesta</t>
        </is>
      </c>
      <c r="E26" s="37" t="inlineStr">
        <is>
          <t>ALTO</t>
        </is>
      </c>
      <c r="F26" s="29" t="inlineStr">
        <is>
          <t>⚠ PENDIENTE</t>
        </is>
      </c>
      <c r="G26" s="30" t="inlineStr"/>
      <c r="H26" s="31" t="inlineStr">
        <is>
          <t>Control calidad</t>
        </is>
      </c>
    </row>
  </sheetData>
  <mergeCells count="5">
    <mergeCell ref="B14:H14"/>
    <mergeCell ref="B4:H4"/>
    <mergeCell ref="B21:H21"/>
    <mergeCell ref="B6:H6"/>
    <mergeCell ref="B2:H2"/>
  </mergeCells>
  <conditionalFormatting sqref="F6:F28">
    <cfRule type="expression" priority="1" dxfId="0">
      <formula>NOT(ISERROR(SEARCH("CUMPLE",F6)))</formula>
    </cfRule>
    <cfRule type="expression" priority="2" dxfId="1">
      <formula>NOT(ISERROR(SEARCH("NO CUMPLE",F6)))</formula>
    </cfRule>
    <cfRule type="expression" priority="3" dxfId="2">
      <formula>NOT(ISERROR(SEARCH("PENDIENTE",F6)))</formula>
    </cfRule>
  </conditionalFormatting>
  <dataValidations count="1">
    <dataValidation sqref="F7 F8 F9 F10 F11 F12 F15 F16 F17 F18 F19 F22 F23 F24 F25 F26" showDropDown="0" showInputMessage="0" showErrorMessage="0" allowBlank="1" type="list">
      <formula1>"✓ CUMPLE,⚠ PENDIENTE,✗ NO CUMPLE,N/A"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48" customWidth="1" min="3" max="3"/>
    <col width="16" customWidth="1" min="4" max="4"/>
    <col width="11" customWidth="1" min="5" max="5"/>
    <col width="14" customWidth="1" min="6" max="6"/>
    <col width="30" customWidth="1" min="7" max="7"/>
    <col width="11" customWidth="1" min="8" max="8"/>
  </cols>
  <sheetData>
    <row r="1" ht="6" customHeight="1"/>
    <row r="2" ht="28" customHeight="1">
      <c r="B2" s="47" t="inlineStr">
        <is>
          <t>CIERRE</t>
        </is>
      </c>
    </row>
    <row r="3" ht="6" customHeight="1">
      <c r="H3">
        <f>COUNTIF(F6:F500,"✓ CUMPLE")</f>
        <v/>
      </c>
    </row>
    <row r="4" ht="16" customHeight="1">
      <c r="B4" s="23" t="inlineStr">
        <is>
          <t>Completa el Estado con el dropdown. Agrega observaciones y evidencias en columna G.</t>
        </is>
      </c>
    </row>
    <row r="5" ht="32" customHeight="1">
      <c r="B5" s="48" t="inlineStr">
        <is>
          <t>#</t>
        </is>
      </c>
      <c r="C5" s="48" t="inlineStr">
        <is>
          <t>ÍTEM / REQUISITO A VERIFICAR</t>
        </is>
      </c>
      <c r="D5" s="48" t="inlineStr">
        <is>
          <t>RESPONSABLE</t>
        </is>
      </c>
      <c r="E5" s="48" t="inlineStr">
        <is>
          <t>PRIORIDAD</t>
        </is>
      </c>
      <c r="F5" s="48" t="inlineStr">
        <is>
          <t>ESTADO</t>
        </is>
      </c>
      <c r="G5" s="48" t="inlineStr">
        <is>
          <t>OBSERVACIÓN / EVIDENCIA</t>
        </is>
      </c>
      <c r="H5" s="48" t="inlineStr">
        <is>
          <t>REF.
BASES</t>
        </is>
      </c>
    </row>
    <row r="6" ht="20" customHeight="1">
      <c r="B6" s="24" t="inlineStr">
        <is>
          <t xml:space="preserve">  ▶  A. 72 HORAS ANTES DE LA APERTURA</t>
        </is>
      </c>
    </row>
    <row r="7" ht="32" customHeight="1">
      <c r="B7" s="25" t="n">
        <v>1</v>
      </c>
      <c r="C7" s="26" t="inlineStr">
        <is>
          <t>Versión final de metodología aprobada internamente</t>
        </is>
      </c>
      <c r="D7" s="27" t="inlineStr">
        <is>
          <t>Jefe Propuesta</t>
        </is>
      </c>
      <c r="E7" s="28" t="inlineStr">
        <is>
          <t>CRÍTICO</t>
        </is>
      </c>
      <c r="F7" s="29" t="inlineStr">
        <is>
          <t>⚠ PENDIENTE</t>
        </is>
      </c>
      <c r="G7" s="30" t="inlineStr"/>
      <c r="H7" s="31" t="inlineStr">
        <is>
          <t>D-3</t>
        </is>
      </c>
    </row>
    <row r="8" ht="32" customHeight="1">
      <c r="B8" s="32" t="n">
        <v>2</v>
      </c>
      <c r="C8" s="33" t="inlineStr">
        <is>
          <t>Todos los CV revisados, firmados y ordenados</t>
        </is>
      </c>
      <c r="D8" s="34" t="inlineStr">
        <is>
          <t>Analista 1</t>
        </is>
      </c>
      <c r="E8" s="28" t="inlineStr">
        <is>
          <t>CRÍTICO</t>
        </is>
      </c>
      <c r="F8" s="29" t="inlineStr">
        <is>
          <t>⚠ PENDIENTE</t>
        </is>
      </c>
      <c r="G8" s="35" t="inlineStr"/>
      <c r="H8" s="36" t="inlineStr">
        <is>
          <t>D-3</t>
        </is>
      </c>
    </row>
    <row r="9" ht="32" customHeight="1">
      <c r="B9" s="25" t="n">
        <v>3</v>
      </c>
      <c r="C9" s="26" t="inlineStr">
        <is>
          <t>Todas las cartas compromiso recibidas y verificadas</t>
        </is>
      </c>
      <c r="D9" s="27" t="inlineStr">
        <is>
          <t>Analista 1</t>
        </is>
      </c>
      <c r="E9" s="28" t="inlineStr">
        <is>
          <t>CRÍTICO</t>
        </is>
      </c>
      <c r="F9" s="29" t="inlineStr">
        <is>
          <t>⚠ PENDIENTE</t>
        </is>
      </c>
      <c r="G9" s="30" t="inlineStr"/>
      <c r="H9" s="31" t="inlineStr">
        <is>
          <t>D-3</t>
        </is>
      </c>
    </row>
    <row r="10" ht="32" customHeight="1">
      <c r="B10" s="32" t="n">
        <v>4</v>
      </c>
      <c r="C10" s="33" t="inlineStr">
        <is>
          <t>Oferta económica cuadrada, revisada y aprobada</t>
        </is>
      </c>
      <c r="D10" s="34" t="inlineStr">
        <is>
          <t>Analista 1</t>
        </is>
      </c>
      <c r="E10" s="28" t="inlineStr">
        <is>
          <t>CRÍTICO</t>
        </is>
      </c>
      <c r="F10" s="29" t="inlineStr">
        <is>
          <t>⚠ PENDIENTE</t>
        </is>
      </c>
      <c r="G10" s="35" t="inlineStr"/>
      <c r="H10" s="36" t="inlineStr">
        <is>
          <t>D-3</t>
        </is>
      </c>
    </row>
    <row r="11" ht="32" customHeight="1">
      <c r="B11" s="25" t="n">
        <v>5</v>
      </c>
      <c r="C11" s="26" t="inlineStr">
        <is>
          <t>Garantía de seriedad solicitada al banco / aseguradora</t>
        </is>
      </c>
      <c r="D11" s="27" t="inlineStr">
        <is>
          <t>Jefe Propuesta</t>
        </is>
      </c>
      <c r="E11" s="28" t="inlineStr">
        <is>
          <t>CRÍTICO</t>
        </is>
      </c>
      <c r="F11" s="29" t="inlineStr">
        <is>
          <t>⚠ PENDIENTE</t>
        </is>
      </c>
      <c r="G11" s="30" t="inlineStr"/>
      <c r="H11" s="31" t="inlineStr">
        <is>
          <t>D-3</t>
        </is>
      </c>
    </row>
    <row r="12" ht="32" customHeight="1">
      <c r="B12" s="32" t="n">
        <v>6</v>
      </c>
      <c r="C12" s="33" t="inlineStr">
        <is>
          <t>Todos los formularios completados y firmados</t>
        </is>
      </c>
      <c r="D12" s="34" t="inlineStr">
        <is>
          <t>Analista 2</t>
        </is>
      </c>
      <c r="E12" s="28" t="inlineStr">
        <is>
          <t>CRÍTICO</t>
        </is>
      </c>
      <c r="F12" s="29" t="inlineStr">
        <is>
          <t>⚠ PENDIENTE</t>
        </is>
      </c>
      <c r="G12" s="35" t="inlineStr"/>
      <c r="H12" s="36" t="inlineStr">
        <is>
          <t>D-3</t>
        </is>
      </c>
    </row>
    <row r="14" ht="20" customHeight="1">
      <c r="B14" s="24" t="inlineStr">
        <is>
          <t xml:space="preserve">  ▶  B. 24 HORAS ANTES DE LA APERTURA</t>
        </is>
      </c>
    </row>
    <row r="15" ht="32" customHeight="1">
      <c r="B15" s="25" t="n">
        <v>7</v>
      </c>
      <c r="C15" s="26" t="inlineStr">
        <is>
          <t>Todos los documentos impresos o en PDF final listos</t>
        </is>
      </c>
      <c r="D15" s="27" t="inlineStr">
        <is>
          <t>Analista 2</t>
        </is>
      </c>
      <c r="E15" s="28" t="inlineStr">
        <is>
          <t>CRÍTICO</t>
        </is>
      </c>
      <c r="F15" s="29" t="inlineStr">
        <is>
          <t>⚠ PENDIENTE</t>
        </is>
      </c>
      <c r="G15" s="30" t="inlineStr"/>
      <c r="H15" s="31" t="inlineStr">
        <is>
          <t>D-1</t>
        </is>
      </c>
    </row>
    <row r="16" ht="32" customHeight="1">
      <c r="B16" s="32" t="n">
        <v>8</v>
      </c>
      <c r="C16" s="33" t="inlineStr">
        <is>
          <t>Revisión cruzada final del índice vs contenido real</t>
        </is>
      </c>
      <c r="D16" s="34" t="inlineStr">
        <is>
          <t>Jefe Propuesta</t>
        </is>
      </c>
      <c r="E16" s="28" t="inlineStr">
        <is>
          <t>CRÍTICO</t>
        </is>
      </c>
      <c r="F16" s="29" t="inlineStr">
        <is>
          <t>⚠ PENDIENTE</t>
        </is>
      </c>
      <c r="G16" s="35" t="inlineStr"/>
      <c r="H16" s="36" t="inlineStr">
        <is>
          <t>D-1</t>
        </is>
      </c>
    </row>
    <row r="17" ht="32" customHeight="1">
      <c r="B17" s="25" t="n">
        <v>9</v>
      </c>
      <c r="C17" s="26" t="inlineStr">
        <is>
          <t>Garantía física recibida y verificada (monto, plazo, beneficiario)</t>
        </is>
      </c>
      <c r="D17" s="27" t="inlineStr">
        <is>
          <t>Jefe Propuesta</t>
        </is>
      </c>
      <c r="E17" s="28" t="inlineStr">
        <is>
          <t>CRÍTICO</t>
        </is>
      </c>
      <c r="F17" s="29" t="inlineStr">
        <is>
          <t>⚠ PENDIENTE</t>
        </is>
      </c>
      <c r="G17" s="30" t="inlineStr"/>
      <c r="H17" s="31" t="inlineStr">
        <is>
          <t>D-1</t>
        </is>
      </c>
    </row>
    <row r="18" ht="32" customHeight="1">
      <c r="B18" s="32" t="n">
        <v>10</v>
      </c>
      <c r="C18" s="33" t="inlineStr">
        <is>
          <t>Confirmación de lugar, hora y forma de entrega</t>
        </is>
      </c>
      <c r="D18" s="34" t="inlineStr">
        <is>
          <t>Analista 2</t>
        </is>
      </c>
      <c r="E18" s="28" t="inlineStr">
        <is>
          <t>CRÍTICO</t>
        </is>
      </c>
      <c r="F18" s="29" t="inlineStr">
        <is>
          <t>⚠ PENDIENTE</t>
        </is>
      </c>
      <c r="G18" s="35" t="inlineStr"/>
      <c r="H18" s="36" t="inlineStr">
        <is>
          <t>D-1</t>
        </is>
      </c>
    </row>
    <row r="19" ht="32" customHeight="1">
      <c r="B19" s="25" t="n">
        <v>11</v>
      </c>
      <c r="C19" s="26" t="inlineStr">
        <is>
          <t>Copia digital respaldada en nube / servidor interno</t>
        </is>
      </c>
      <c r="D19" s="27" t="inlineStr">
        <is>
          <t>Analista 1</t>
        </is>
      </c>
      <c r="E19" s="28" t="inlineStr">
        <is>
          <t>CRÍTICO</t>
        </is>
      </c>
      <c r="F19" s="29" t="inlineStr">
        <is>
          <t>⚠ PENDIENTE</t>
        </is>
      </c>
      <c r="G19" s="30" t="inlineStr"/>
      <c r="H19" s="31" t="inlineStr">
        <is>
          <t>D-1</t>
        </is>
      </c>
    </row>
    <row r="20" ht="32" customHeight="1">
      <c r="B20" s="32" t="n">
        <v>12</v>
      </c>
      <c r="C20" s="33" t="inlineStr">
        <is>
          <t>Se imprimió una copia de respaldo extra de cada documento clave</t>
        </is>
      </c>
      <c r="D20" s="34" t="inlineStr">
        <is>
          <t>Analista 1</t>
        </is>
      </c>
      <c r="E20" s="37" t="inlineStr">
        <is>
          <t>ALTO</t>
        </is>
      </c>
      <c r="F20" s="29" t="inlineStr">
        <is>
          <t>⚠ PENDIENTE</t>
        </is>
      </c>
      <c r="G20" s="35" t="inlineStr"/>
      <c r="H20" s="36" t="inlineStr">
        <is>
          <t>D-1</t>
        </is>
      </c>
    </row>
    <row r="22" ht="20" customHeight="1">
      <c r="B22" s="24" t="inlineStr">
        <is>
          <t xml:space="preserve">  ▶  C. DÍA DE APERTURA</t>
        </is>
      </c>
    </row>
    <row r="23" ht="32" customHeight="1">
      <c r="B23" s="25" t="n">
        <v>13</v>
      </c>
      <c r="C23" s="26" t="inlineStr">
        <is>
          <t>Llegar con al menos 30 minutos de anticipación al lugar de entrega</t>
        </is>
      </c>
      <c r="D23" s="27" t="inlineStr">
        <is>
          <t>Jefe Propuesta</t>
        </is>
      </c>
      <c r="E23" s="28" t="inlineStr">
        <is>
          <t>CRÍTICO</t>
        </is>
      </c>
      <c r="F23" s="29" t="inlineStr">
        <is>
          <t>⚠ PENDIENTE</t>
        </is>
      </c>
      <c r="G23" s="30" t="inlineStr"/>
      <c r="H23" s="31" t="inlineStr">
        <is>
          <t>D-Day</t>
        </is>
      </c>
    </row>
    <row r="24" ht="32" customHeight="1">
      <c r="B24" s="32" t="n">
        <v>14</v>
      </c>
      <c r="C24" s="33" t="inlineStr">
        <is>
          <t>Llevar copia extra de cada documento crítico</t>
        </is>
      </c>
      <c r="D24" s="34" t="inlineStr">
        <is>
          <t>Analista 1</t>
        </is>
      </c>
      <c r="E24" s="37" t="inlineStr">
        <is>
          <t>ALTO</t>
        </is>
      </c>
      <c r="F24" s="29" t="inlineStr">
        <is>
          <t>⚠ PENDIENTE</t>
        </is>
      </c>
      <c r="G24" s="35" t="inlineStr"/>
      <c r="H24" s="36" t="inlineStr">
        <is>
          <t>D-Day</t>
        </is>
      </c>
    </row>
    <row r="25" ht="32" customHeight="1">
      <c r="B25" s="25" t="n">
        <v>15</v>
      </c>
      <c r="C25" s="26" t="inlineStr">
        <is>
          <t>Obtener comprobante de recepción / número de ingreso</t>
        </is>
      </c>
      <c r="D25" s="27" t="inlineStr">
        <is>
          <t>Analista 1</t>
        </is>
      </c>
      <c r="E25" s="28" t="inlineStr">
        <is>
          <t>CRÍTICO</t>
        </is>
      </c>
      <c r="F25" s="29" t="inlineStr">
        <is>
          <t>⚠ PENDIENTE</t>
        </is>
      </c>
      <c r="G25" s="30" t="inlineStr"/>
      <c r="H25" s="31" t="inlineStr">
        <is>
          <t>D-Day</t>
        </is>
      </c>
    </row>
    <row r="26" ht="32" customHeight="1">
      <c r="B26" s="32" t="n">
        <v>16</v>
      </c>
      <c r="C26" s="33" t="inlineStr">
        <is>
          <t>Asistir a apertura si es pública y registrar propuestas rivales y montos</t>
        </is>
      </c>
      <c r="D26" s="34" t="inlineStr">
        <is>
          <t>Jefe Propuesta</t>
        </is>
      </c>
      <c r="E26" s="37" t="inlineStr">
        <is>
          <t>ALTO</t>
        </is>
      </c>
      <c r="F26" s="29" t="inlineStr">
        <is>
          <t>⚠ PENDIENTE</t>
        </is>
      </c>
      <c r="G26" s="35" t="inlineStr"/>
      <c r="H26" s="36" t="inlineStr">
        <is>
          <t>Inteligencia</t>
        </is>
      </c>
    </row>
    <row r="27" ht="32" customHeight="1">
      <c r="B27" s="25" t="n">
        <v>17</v>
      </c>
      <c r="C27" s="26" t="inlineStr">
        <is>
          <t>Registrar nombres de empresas y profesionales presentes</t>
        </is>
      </c>
      <c r="D27" s="27" t="inlineStr">
        <is>
          <t>Analista 2</t>
        </is>
      </c>
      <c r="E27" s="38" t="inlineStr">
        <is>
          <t>MEDIO</t>
        </is>
      </c>
      <c r="F27" s="29" t="inlineStr">
        <is>
          <t>⚠ PENDIENTE</t>
        </is>
      </c>
      <c r="G27" s="30" t="inlineStr"/>
      <c r="H27" s="31" t="inlineStr">
        <is>
          <t>Inteligencia</t>
        </is>
      </c>
    </row>
    <row r="29" ht="20" customHeight="1">
      <c r="B29" s="24" t="inlineStr">
        <is>
          <t xml:space="preserve">  ▶  D. POST-APERTURA Y SEGUIMIENTO</t>
        </is>
      </c>
    </row>
    <row r="30" ht="32" customHeight="1">
      <c r="B30" s="25" t="n">
        <v>18</v>
      </c>
      <c r="C30" s="26" t="inlineStr">
        <is>
          <t>Guardar acta de apertura publicada en portal MOP / MercadoPúblico</t>
        </is>
      </c>
      <c r="D30" s="27" t="inlineStr">
        <is>
          <t>Analista 2</t>
        </is>
      </c>
      <c r="E30" s="37" t="inlineStr">
        <is>
          <t>ALTO</t>
        </is>
      </c>
      <c r="F30" s="29" t="inlineStr">
        <is>
          <t>⚠ PENDIENTE</t>
        </is>
      </c>
      <c r="G30" s="30" t="inlineStr"/>
      <c r="H30" s="31" t="inlineStr">
        <is>
          <t>Trazabilidad</t>
        </is>
      </c>
    </row>
    <row r="31" ht="32" customHeight="1">
      <c r="B31" s="32" t="n">
        <v>19</v>
      </c>
      <c r="C31" s="33" t="inlineStr">
        <is>
          <t>Revisar puntajes publicados y analizar brecha con el ganador</t>
        </is>
      </c>
      <c r="D31" s="34" t="inlineStr">
        <is>
          <t>Jefe Propuesta</t>
        </is>
      </c>
      <c r="E31" s="37" t="inlineStr">
        <is>
          <t>ALTO</t>
        </is>
      </c>
      <c r="F31" s="29" t="inlineStr">
        <is>
          <t>⚠ PENDIENTE</t>
        </is>
      </c>
      <c r="G31" s="35" t="inlineStr"/>
      <c r="H31" s="36" t="inlineStr">
        <is>
          <t>Aprendizaje</t>
        </is>
      </c>
    </row>
    <row r="32" ht="32" customHeight="1">
      <c r="B32" s="25" t="n">
        <v>20</v>
      </c>
      <c r="C32" s="26" t="inlineStr">
        <is>
          <t>Identificar si hay fundamento para observaciones o reclamo formal</t>
        </is>
      </c>
      <c r="D32" s="27" t="inlineStr">
        <is>
          <t>Jefe Propuesta</t>
        </is>
      </c>
      <c r="E32" s="38" t="inlineStr">
        <is>
          <t>MEDIO</t>
        </is>
      </c>
      <c r="F32" s="29" t="inlineStr">
        <is>
          <t>⚠ PENDIENTE</t>
        </is>
      </c>
      <c r="G32" s="30" t="inlineStr"/>
      <c r="H32" s="31" t="inlineStr">
        <is>
          <t>Estrategia</t>
        </is>
      </c>
    </row>
    <row r="33" ht="32" customHeight="1">
      <c r="B33" s="32" t="n">
        <v>21</v>
      </c>
      <c r="C33" s="33" t="inlineStr">
        <is>
          <t>Documentar lecciones aprendidas para futuras propuestas</t>
        </is>
      </c>
      <c r="D33" s="34" t="inlineStr">
        <is>
          <t>Jefe Propuesta</t>
        </is>
      </c>
      <c r="E33" s="38" t="inlineStr">
        <is>
          <t>MEDIO</t>
        </is>
      </c>
      <c r="F33" s="29" t="inlineStr">
        <is>
          <t>⚠ PENDIENTE</t>
        </is>
      </c>
      <c r="G33" s="35" t="inlineStr"/>
      <c r="H33" s="36" t="inlineStr">
        <is>
          <t>Mejora continua</t>
        </is>
      </c>
    </row>
    <row r="34" ht="32" customHeight="1">
      <c r="B34" s="25" t="n">
        <v>22</v>
      </c>
      <c r="C34" s="26" t="inlineStr">
        <is>
          <t>Archivar propuesta completa como memoria técnica de referencia</t>
        </is>
      </c>
      <c r="D34" s="27" t="inlineStr">
        <is>
          <t>Analista 1</t>
        </is>
      </c>
      <c r="E34" s="38" t="inlineStr">
        <is>
          <t>MEDIO</t>
        </is>
      </c>
      <c r="F34" s="29" t="inlineStr">
        <is>
          <t>⚠ PENDIENTE</t>
        </is>
      </c>
      <c r="G34" s="30" t="inlineStr"/>
      <c r="H34" s="31" t="inlineStr">
        <is>
          <t>Trazabilidad</t>
        </is>
      </c>
    </row>
  </sheetData>
  <mergeCells count="6">
    <mergeCell ref="B22:H22"/>
    <mergeCell ref="B14:H14"/>
    <mergeCell ref="B4:H4"/>
    <mergeCell ref="B6:H6"/>
    <mergeCell ref="B2:H2"/>
    <mergeCell ref="B29:H29"/>
  </mergeCells>
  <conditionalFormatting sqref="F6:F36">
    <cfRule type="expression" priority="1" dxfId="0">
      <formula>NOT(ISERROR(SEARCH("CUMPLE",F6)))</formula>
    </cfRule>
    <cfRule type="expression" priority="2" dxfId="1">
      <formula>NOT(ISERROR(SEARCH("NO CUMPLE",F6)))</formula>
    </cfRule>
    <cfRule type="expression" priority="3" dxfId="2">
      <formula>NOT(ISERROR(SEARCH("PENDIENTE",F6)))</formula>
    </cfRule>
  </conditionalFormatting>
  <dataValidations count="1">
    <dataValidation sqref="F7 F8 F9 F10 F11 F12 F15 F16 F17 F18 F19 F20 F23 F24 F25 F26 F27 F30 F31 F32 F33 F34" showDropDown="0" showInputMessage="0" showErrorMessage="0" allowBlank="1" type="list">
      <formula1>"✓ CUMPLE,⚠ PENDIENTE,✗ NO CUMPLE,N/A"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2026-05-21T04:55:39Z</dcterms:created>
  <dcterms:modified xmlns:dcterms="http://purl.org/dc/terms/" xmlns:xsi="http://www.w3.org/2001/XMLSchema-instance" xsi:type="dcterms:W3CDTF">2026-05-21T04:55:39Z</dcterms:modified>
</cp:coreProperties>
</file>